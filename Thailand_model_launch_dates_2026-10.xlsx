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説明" sheetId="1" state="visible" r:id="rId3"/>
    <sheet name="モデル一覧" sheetId="2" state="visible" r:id="rId4"/>
    <sheet name="ブランド一覧" sheetId="3" state="visible" r:id="rId5"/>
    <sheet name="突合テンプレート" sheetId="4" state="visible" r:id="rId6"/>
  </sheets>
  <definedNames>
    <definedName function="false" hidden="false" localSheetId="2" name="_xlnm.Print_Titles" vbProcedure="false">ブランド一覧!$1:$1</definedName>
    <definedName function="false" hidden="true" localSheetId="2" name="_xlnm._FilterDatabase" vbProcedure="false">ブランド一覧!$A$1:$I$45</definedName>
    <definedName function="false" hidden="false" localSheetId="1" name="_xlnm.Print_Titles" vbProcedure="false">モデル一覧!$1:$1</definedName>
    <definedName function="false" hidden="true" localSheetId="1" name="_xlnm._FilterDatabase" vbProcedure="false">モデル一覧!$A$1:$U$205</definedName>
    <definedName function="false" hidden="false" localSheetId="3" name="_xlnm.Print_Titles" vbProcedure="false">突合テンプレート!$5:$5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<sst xmlns="http://schemas.openxmlformats.org/spreadsheetml/2006/main" count="2849" uniqueCount="835">
  <si>
    <r>
      <rPr>
        <b val="true"/>
        <sz val="14"/>
        <color rgb="FF000000"/>
        <rFont val="Noto Sans CJK SC"/>
        <family val="2"/>
      </rPr>
      <t xml:space="preserve">タイ市場 販売中モデルの発売時期一覧（</t>
    </r>
    <r>
      <rPr>
        <b val="true"/>
        <sz val="14"/>
        <color rgb="FF000000"/>
        <rFont val="Arial"/>
        <family val="0"/>
        <charset val="1"/>
      </rPr>
      <t xml:space="preserve">2026</t>
    </r>
    <r>
      <rPr>
        <b val="true"/>
        <sz val="14"/>
        <color rgb="FF000000"/>
        <rFont val="Noto Sans CJK SC"/>
        <family val="2"/>
      </rPr>
      <t xml:space="preserve">年</t>
    </r>
    <r>
      <rPr>
        <b val="true"/>
        <sz val="14"/>
        <color rgb="FF000000"/>
        <rFont val="Arial"/>
        <family val="0"/>
        <charset val="1"/>
      </rPr>
      <t xml:space="preserve">10</t>
    </r>
    <r>
      <rPr>
        <b val="true"/>
        <sz val="14"/>
        <color rgb="FF000000"/>
        <rFont val="Noto Sans CJK SC"/>
        <family val="2"/>
      </rPr>
      <t xml:space="preserve">月時点）</t>
    </r>
  </si>
  <si>
    <t xml:space="preserve">作成日</t>
  </si>
  <si>
    <t xml:space="preserve">基準日（経過年数の計算）</t>
  </si>
  <si>
    <t xml:space="preserve">収録モデル数</t>
  </si>
  <si>
    <t xml:space="preserve">対象範囲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</si>
  <si>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月の車種別販売ランキング上位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（同期間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台以上）に入る乗用車・ピックアップ・</t>
    </r>
    <r>
      <rPr>
        <sz val="10"/>
        <color rgb="FF000000"/>
        <rFont val="Arial"/>
        <family val="0"/>
        <charset val="1"/>
      </rPr>
      <t xml:space="preserve">PPV</t>
    </r>
    <r>
      <rPr>
        <sz val="10"/>
        <color rgb="FF000000"/>
        <rFont val="Noto Sans CJK SC"/>
        <family val="2"/>
      </rPr>
      <t xml:space="preserve">・小型バンを収録した。</t>
    </r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</si>
  <si>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月以降の新規投入は </t>
    </r>
    <r>
      <rPr>
        <sz val="10"/>
        <color rgb="FF000000"/>
        <rFont val="Arial"/>
        <family val="0"/>
        <charset val="1"/>
      </rPr>
      <t xml:space="preserve">Lepas L6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Riddara ECON L </t>
    </r>
    <r>
      <rPr>
        <sz val="10"/>
        <color rgb="FF000000"/>
        <rFont val="Noto Sans CJK SC"/>
        <family val="2"/>
      </rPr>
      <t xml:space="preserve">のみ追加しており、網羅していない。</t>
    </r>
  </si>
  <si>
    <t xml:space="preserve">小型トラック、超高級スポーツカー、ランキング圏外の少量車種は除外した（ブランド一覧に記載）。</t>
  </si>
  <si>
    <t xml:space="preserve">列の定義</t>
  </si>
  <si>
    <r>
      <rPr>
        <sz val="10"/>
        <color rgb="FF000000"/>
        <rFont val="Noto Sans CJK SC"/>
        <family val="2"/>
      </rPr>
      <t xml:space="preserve">車名のタイ初投入（年）：現在のタイ市場名が初めて販売された年。世代ごとに車名を変える車種があるため、</t>
    </r>
    <r>
      <rPr>
        <sz val="10"/>
        <color rgb="FF000000"/>
        <rFont val="Arial"/>
        <family val="0"/>
        <charset val="1"/>
      </rPr>
      <t xml:space="preserve">MarkLines</t>
    </r>
    <r>
      <rPr>
        <sz val="10"/>
        <color rgb="FF000000"/>
        <rFont val="Noto Sans CJK SC"/>
        <family val="2"/>
      </rPr>
      <t xml:space="preserve">の車名との突合に使う。長期使用の車名は空欄。</t>
    </r>
  </si>
  <si>
    <t xml:space="preserve">現行世代のタイ発売（年・月）：現行世代の価格発表・発売の時期。展示や予約開始のみの時期は採らない。納車開始が大きくずれる場合は「照合上の注意」と備考に記載した。</t>
  </si>
  <si>
    <r>
      <rPr>
        <sz val="10"/>
        <color rgb="FF000000"/>
        <rFont val="Noto Sans CJK SC"/>
        <family val="2"/>
      </rPr>
      <t xml:space="preserve">経過年数：基準日（</t>
    </r>
    <r>
      <rPr>
        <sz val="10"/>
        <color rgb="FF000000"/>
        <rFont val="Arial"/>
        <family val="0"/>
        <charset val="1"/>
      </rPr>
      <t xml:space="preserve">B4</t>
    </r>
    <r>
      <rPr>
        <sz val="10"/>
        <color rgb="FF000000"/>
        <rFont val="Noto Sans CJK SC"/>
        <family val="2"/>
      </rPr>
      <t xml:space="preserve">、変更可）からの経過年。月が不明の場合は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月と仮定した。</t>
    </r>
  </si>
  <si>
    <r>
      <rPr>
        <sz val="10"/>
        <color rgb="FF000000"/>
        <rFont val="Noto Sans CJK SC"/>
        <family val="2"/>
      </rPr>
      <t xml:space="preserve">別名：中国名や他市場名。</t>
    </r>
    <r>
      <rPr>
        <sz val="10"/>
        <color rgb="FF000000"/>
        <rFont val="Arial"/>
        <family val="0"/>
        <charset val="1"/>
      </rPr>
      <t xml:space="preserve">S&amp;P</t>
    </r>
    <r>
      <rPr>
        <sz val="10"/>
        <color rgb="FF000000"/>
        <rFont val="Noto Sans CJK SC"/>
        <family val="2"/>
      </rPr>
      <t xml:space="preserve">の車名と突合する際の手がかりとする。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</si>
  <si>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月の販売規模：下記出典のランキングに基づく区分。</t>
    </r>
  </si>
  <si>
    <t xml:space="preserve">確度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</si>
  <si>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：本調査で発売時期を報道・メーカー発表により確認（出典</t>
    </r>
    <r>
      <rPr>
        <sz val="10"/>
        <color rgb="FF000000"/>
        <rFont val="Arial"/>
        <family val="0"/>
        <charset val="1"/>
      </rPr>
      <t xml:space="preserve">URL</t>
    </r>
    <r>
      <rPr>
        <sz val="10"/>
        <color rgb="FF000000"/>
        <rFont val="Noto Sans CJK SC"/>
        <family val="2"/>
      </rPr>
      <t xml:space="preserve">あり）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</si>
  <si>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：報道等で概ね確認したが、月や詳細に不確実性が残る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</si>
  <si>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：一般情報に基づく推定。使用前に照合が必要</t>
    </r>
  </si>
  <si>
    <t xml:space="preserve">照合上の注意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</si>
  <si>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タイでは世代交代時に車名を変える例がある（</t>
    </r>
    <r>
      <rPr>
        <sz val="10"/>
        <color rgb="FF000000"/>
        <rFont val="Arial"/>
        <family val="0"/>
        <charset val="1"/>
      </rPr>
      <t xml:space="preserve">Hilux Vigo→Revo→Travo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Vios→Yaris ATIV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MG4→MG Urban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MarkLines</t>
    </r>
    <r>
      <rPr>
        <sz val="10"/>
        <color rgb="FF000000"/>
        <rFont val="Noto Sans CJK SC"/>
        <family val="2"/>
      </rPr>
      <t xml:space="preserve">上は新車名の初登場が世代交代にあたる。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</si>
  <si>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旧世代と新世代を併売する例がある（</t>
    </r>
    <r>
      <rPr>
        <sz val="10"/>
        <color rgb="FF000000"/>
        <rFont val="Arial"/>
        <family val="0"/>
        <charset val="1"/>
      </rPr>
      <t xml:space="preserve">Hilux Revo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Travo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Serena C27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MG4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MG Urban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</si>
  <si>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中国系は輸入で投入した後にタイ生産へ切り替える例が多い。</t>
    </r>
    <r>
      <rPr>
        <sz val="10"/>
        <color rgb="FF000000"/>
        <rFont val="Arial"/>
        <family val="0"/>
        <charset val="1"/>
      </rPr>
      <t xml:space="preserve">S&amp;P</t>
    </r>
    <r>
      <rPr>
        <sz val="10"/>
        <color rgb="FF000000"/>
        <rFont val="Noto Sans CJK SC"/>
        <family val="2"/>
      </rPr>
      <t xml:space="preserve">の</t>
    </r>
    <r>
      <rPr>
        <sz val="10"/>
        <color rgb="FF000000"/>
        <rFont val="Arial"/>
        <family val="0"/>
        <charset val="1"/>
      </rPr>
      <t xml:space="preserve">SOP</t>
    </r>
    <r>
      <rPr>
        <sz val="10"/>
        <color rgb="FF000000"/>
        <rFont val="Noto Sans CJK SC"/>
        <family val="2"/>
      </rPr>
      <t xml:space="preserve">がタイ工場の立ち上げを指す場合、発売より大幅に遅い日付になる。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</si>
  <si>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発表と納車がずれる例：</t>
    </r>
    <r>
      <rPr>
        <sz val="10"/>
        <color rgb="FF000000"/>
        <rFont val="Arial"/>
        <family val="0"/>
        <charset val="1"/>
      </rPr>
      <t xml:space="preserve">GWM Ora 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月発表→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月納車）、</t>
    </r>
    <r>
      <rPr>
        <sz val="10"/>
        <color rgb="FF000000"/>
        <rFont val="Arial"/>
        <family val="0"/>
        <charset val="1"/>
      </rPr>
      <t xml:space="preserve">Geely EX2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月発表→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月以降納車）、</t>
    </r>
    <r>
      <rPr>
        <sz val="10"/>
        <color rgb="FF000000"/>
        <rFont val="Arial"/>
        <family val="0"/>
        <charset val="1"/>
      </rPr>
      <t xml:space="preserve">Mazda 6e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月発表→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月納車）。</t>
    </r>
  </si>
  <si>
    <t xml:space="preserve">主な出典</t>
  </si>
  <si>
    <r>
      <rPr>
        <sz val="10"/>
        <color rgb="FF000000"/>
        <rFont val="Noto Sans CJK SC"/>
        <family val="2"/>
      </rPr>
      <t xml:space="preserve">販売規模：</t>
    </r>
    <r>
      <rPr>
        <sz val="10"/>
        <color rgb="FF000000"/>
        <rFont val="Arial"/>
        <family val="0"/>
        <charset val="1"/>
      </rPr>
      <t xml:space="preserve">Best Selling Cars Blog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Thailand August 2026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Car250</t>
    </r>
    <r>
      <rPr>
        <sz val="10"/>
        <color rgb="FF000000"/>
        <rFont val="Noto Sans CJK SC"/>
        <family val="2"/>
      </rPr>
      <t xml:space="preserve">集計） </t>
    </r>
    <r>
      <rPr>
        <sz val="10"/>
        <color rgb="FF000000"/>
        <rFont val="Arial"/>
        <family val="0"/>
        <charset val="1"/>
      </rPr>
      <t xml:space="preserve">https://bestsellingcarsblog.com/2026/09/thailand-august-2026-bev-most-popular-propulsion-gwm-ora-5-up-to-6/</t>
    </r>
  </si>
  <si>
    <r>
      <rPr>
        <sz val="10"/>
        <color rgb="FF000000"/>
        <rFont val="Noto Sans CJK SC"/>
        <family val="2"/>
      </rPr>
      <t xml:space="preserve">発売時期：モデル一覧の出典列（</t>
    </r>
    <r>
      <rPr>
        <sz val="10"/>
        <color rgb="FF000000"/>
        <rFont val="Arial"/>
        <family val="0"/>
        <charset val="1"/>
      </rPr>
      <t xml:space="preserve">Thairath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motorexpo.co.th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MarkLines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CnEVPost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paultan.org </t>
    </r>
    <r>
      <rPr>
        <sz val="10"/>
        <color rgb="FF000000"/>
        <rFont val="Noto Sans CJK SC"/>
        <family val="2"/>
      </rPr>
      <t xml:space="preserve">ほか）</t>
    </r>
  </si>
  <si>
    <t xml:space="preserve">シート構成</t>
  </si>
  <si>
    <r>
      <rPr>
        <sz val="10"/>
        <color rgb="FF000000"/>
        <rFont val="Noto Sans CJK SC"/>
        <family val="2"/>
      </rPr>
      <t xml:space="preserve">モデル一覧：車種ごとの発売時期／ブランド一覧：参入時期と現地生産／突合テンプレート：</t>
    </r>
    <r>
      <rPr>
        <sz val="10"/>
        <color rgb="FF000000"/>
        <rFont val="Arial"/>
        <family val="0"/>
        <charset val="1"/>
      </rPr>
      <t xml:space="preserve">MarkLines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S&amp;P</t>
    </r>
    <r>
      <rPr>
        <sz val="10"/>
        <color rgb="FF000000"/>
        <rFont val="Noto Sans CJK SC"/>
        <family val="2"/>
      </rPr>
      <t xml:space="preserve">との照合用</t>
    </r>
  </si>
  <si>
    <t xml:space="preserve">No.</t>
  </si>
  <si>
    <t xml:space="preserve">系統</t>
  </si>
  <si>
    <t xml:space="preserve">グループ</t>
  </si>
  <si>
    <t xml:space="preserve">ブランド</t>
  </si>
  <si>
    <t xml:space="preserve">モデル（タイ市場名）</t>
  </si>
  <si>
    <t xml:space="preserve">別名（中国名・他市場名）</t>
  </si>
  <si>
    <t xml:space="preserve">車体</t>
  </si>
  <si>
    <t xml:space="preserve">動力</t>
  </si>
  <si>
    <t xml:space="preserve">供給</t>
  </si>
  <si>
    <t xml:space="preserve">車名のタイ初投入（年）</t>
  </si>
  <si>
    <t xml:space="preserve">現行世代 タイ発売（年）</t>
  </si>
  <si>
    <t xml:space="preserve">現行世代 タイ発売（月）</t>
  </si>
  <si>
    <t xml:space="preserve">前世代 タイ発売（年）</t>
  </si>
  <si>
    <t xml:space="preserve">直近の主な改良・追加</t>
  </si>
  <si>
    <t xml:space="preserve">現行世代の経過年数</t>
  </si>
  <si>
    <t xml:space="preserve">車名の経過年数</t>
  </si>
  <si>
    <r>
      <rPr>
        <b val="true"/>
        <sz val="10"/>
        <color rgb="FF000000"/>
        <rFont val="Arial"/>
        <family val="0"/>
        <charset val="1"/>
      </rPr>
      <t xml:space="preserve">2026</t>
    </r>
    <r>
      <rPr>
        <b val="true"/>
        <sz val="10"/>
        <color rgb="FF000000"/>
        <rFont val="Noto Sans CJK SC"/>
        <family val="2"/>
      </rPr>
      <t xml:space="preserve">年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〜</t>
    </r>
    <r>
      <rPr>
        <b val="true"/>
        <sz val="10"/>
        <color rgb="FF000000"/>
        <rFont val="Arial"/>
        <family val="0"/>
        <charset val="1"/>
      </rPr>
      <t xml:space="preserve">8</t>
    </r>
    <r>
      <rPr>
        <b val="true"/>
        <sz val="10"/>
        <color rgb="FF000000"/>
        <rFont val="Noto Sans CJK SC"/>
        <family val="2"/>
      </rPr>
      <t xml:space="preserve">月の販売規模</t>
    </r>
  </si>
  <si>
    <t xml:space="preserve">出典</t>
  </si>
  <si>
    <t xml:space="preserve">備考</t>
  </si>
  <si>
    <t xml:space="preserve">日系</t>
  </si>
  <si>
    <t xml:space="preserve">トヨタ</t>
  </si>
  <si>
    <t xml:space="preserve">Toyota</t>
  </si>
  <si>
    <t xml:space="preserve">Hilux Travo</t>
  </si>
  <si>
    <r>
      <rPr>
        <sz val="10"/>
        <color rgb="FF000000"/>
        <rFont val="Arial"/>
        <family val="0"/>
        <charset val="1"/>
      </rPr>
      <t xml:space="preserve">Hilux</t>
    </r>
    <r>
      <rPr>
        <sz val="10"/>
        <color rgb="FF000000"/>
        <rFont val="Noto Sans CJK SC"/>
        <family val="2"/>
      </rPr>
      <t xml:space="preserve">（第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世代）</t>
    </r>
  </si>
  <si>
    <t xml:space="preserve">ピックアップ</t>
  </si>
  <si>
    <r>
      <rPr>
        <sz val="10"/>
        <color rgb="FF000000"/>
        <rFont val="Noto Sans CJK SC"/>
        <family val="2"/>
      </rPr>
      <t xml:space="preserve">ディーゼル／</t>
    </r>
    <r>
      <rPr>
        <sz val="10"/>
        <color rgb="FF000000"/>
        <rFont val="Arial"/>
        <family val="0"/>
        <charset val="1"/>
      </rPr>
      <t xml:space="preserve">BEV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Travo-e</t>
    </r>
    <r>
      <rPr>
        <sz val="10"/>
        <color rgb="FF000000"/>
        <rFont val="Noto Sans CJK SC"/>
        <family val="2"/>
      </rPr>
      <t xml:space="preserve">）</t>
    </r>
  </si>
  <si>
    <t xml:space="preserve">タイ生産</t>
  </si>
  <si>
    <r>
      <rPr>
        <sz val="10"/>
        <color rgb="FF000000"/>
        <rFont val="Arial"/>
        <family val="0"/>
        <charset val="1"/>
      </rPr>
      <t xml:space="preserve">BEV</t>
    </r>
    <r>
      <rPr>
        <sz val="10"/>
        <color rgb="FF000000"/>
        <rFont val="Noto Sans CJK SC"/>
        <family val="2"/>
      </rPr>
      <t xml:space="preserve">版</t>
    </r>
    <r>
      <rPr>
        <sz val="10"/>
        <color rgb="FF000000"/>
        <rFont val="Arial"/>
        <family val="0"/>
        <charset val="1"/>
      </rPr>
      <t xml:space="preserve">Travo-e</t>
    </r>
    <r>
      <rPr>
        <sz val="10"/>
        <color rgb="FF000000"/>
        <rFont val="Noto Sans CJK SC"/>
        <family val="2"/>
      </rPr>
      <t xml:space="preserve">を同時発表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</si>
  <si>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万台以上（</t>
    </r>
    <r>
      <rPr>
        <sz val="10"/>
        <color rgb="FF000000"/>
        <rFont val="Arial"/>
        <family val="0"/>
        <charset val="1"/>
      </rPr>
      <t xml:space="preserve">Travo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Revo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Champ</t>
    </r>
    <r>
      <rPr>
        <sz val="10"/>
        <color rgb="FF000000"/>
        <rFont val="Noto Sans CJK SC"/>
        <family val="2"/>
      </rPr>
      <t xml:space="preserve">合算）</t>
    </r>
  </si>
  <si>
    <t xml:space="preserve">車名変更型の世代交代／旧世代と併売／合算表記</t>
  </si>
  <si>
    <t xml:space="preserve">A</t>
  </si>
  <si>
    <t xml:space="preserve">https://www.motorexpo.co.th/en/news/5258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</si>
  <si>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日発表。前世代は</t>
    </r>
    <r>
      <rPr>
        <sz val="10"/>
        <color rgb="FF000000"/>
        <rFont val="Arial"/>
        <family val="0"/>
        <charset val="1"/>
      </rPr>
      <t xml:space="preserve">Hilux Revo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月の</t>
    </r>
    <r>
      <rPr>
        <sz val="10"/>
        <color rgb="FF000000"/>
        <rFont val="Arial"/>
        <family val="0"/>
        <charset val="1"/>
      </rPr>
      <t xml:space="preserve">Hilux</t>
    </r>
    <r>
      <rPr>
        <sz val="10"/>
        <color rgb="FF000000"/>
        <rFont val="Noto Sans CJK SC"/>
        <family val="2"/>
      </rPr>
      <t xml:space="preserve">販売の約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割が</t>
    </r>
    <r>
      <rPr>
        <sz val="10"/>
        <color rgb="FF000000"/>
        <rFont val="Arial"/>
        <family val="0"/>
        <charset val="1"/>
      </rPr>
      <t xml:space="preserve">Travo</t>
    </r>
  </si>
  <si>
    <t xml:space="preserve">Hilux Revo</t>
  </si>
  <si>
    <r>
      <rPr>
        <sz val="10"/>
        <color rgb="FF000000"/>
        <rFont val="Arial"/>
        <family val="0"/>
        <charset val="1"/>
      </rPr>
      <t xml:space="preserve">Hilux</t>
    </r>
    <r>
      <rPr>
        <sz val="10"/>
        <color rgb="FF000000"/>
        <rFont val="Noto Sans CJK SC"/>
        <family val="2"/>
      </rPr>
      <t xml:space="preserve">（第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世代）</t>
    </r>
  </si>
  <si>
    <t xml:space="preserve">ディーゼル</t>
  </si>
  <si>
    <r>
      <rPr>
        <sz val="10"/>
        <color rgb="FF000000"/>
        <rFont val="Arial"/>
        <family val="0"/>
        <charset val="1"/>
      </rPr>
      <t xml:space="preserve">2020</t>
    </r>
    <r>
      <rPr>
        <sz val="10"/>
        <color rgb="FF000000"/>
        <rFont val="Noto Sans CJK SC"/>
        <family val="2"/>
      </rPr>
      <t xml:space="preserve">年に大幅改良。</t>
    </r>
    <r>
      <rPr>
        <sz val="10"/>
        <color rgb="FF000000"/>
        <rFont val="Arial"/>
        <family val="0"/>
        <charset val="1"/>
      </rPr>
      <t xml:space="preserve">Travo</t>
    </r>
    <r>
      <rPr>
        <sz val="10"/>
        <color rgb="FF000000"/>
        <rFont val="Noto Sans CJK SC"/>
        <family val="2"/>
      </rPr>
      <t xml:space="preserve">発売後も一部仕様を継続販売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</si>
  <si>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万台以上（同上）</t>
    </r>
  </si>
  <si>
    <t xml:space="preserve">旧世代と併売／合算表記</t>
  </si>
  <si>
    <t xml:space="preserve">B</t>
  </si>
  <si>
    <t xml:space="preserve">—</t>
  </si>
  <si>
    <r>
      <rPr>
        <sz val="10"/>
        <color rgb="FF000000"/>
        <rFont val="Noto Sans CJK SC"/>
        <family val="2"/>
      </rPr>
      <t xml:space="preserve">前世代は</t>
    </r>
    <r>
      <rPr>
        <sz val="10"/>
        <color rgb="FF000000"/>
        <rFont val="Arial"/>
        <family val="0"/>
        <charset val="1"/>
      </rPr>
      <t xml:space="preserve">Hilux Vigo</t>
    </r>
  </si>
  <si>
    <t xml:space="preserve">Hilux Champ</t>
  </si>
  <si>
    <r>
      <rPr>
        <sz val="10"/>
        <color rgb="FF000000"/>
        <rFont val="Arial"/>
        <family val="0"/>
        <charset val="1"/>
      </rPr>
      <t xml:space="preserve">IMV 0</t>
    </r>
    <r>
      <rPr>
        <sz val="10"/>
        <color rgb="FF000000"/>
        <rFont val="Noto Sans CJK SC"/>
        <family val="2"/>
      </rPr>
      <t xml:space="preserve">系</t>
    </r>
  </si>
  <si>
    <t xml:space="preserve">ピックアップ（商用）</t>
  </si>
  <si>
    <t xml:space="preserve">ディーゼル／ガソリン</t>
  </si>
  <si>
    <t xml:space="preserve">（初代）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</si>
  <si>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 ショートホイールベース仕様を追加</t>
    </r>
  </si>
  <si>
    <t xml:space="preserve">合算表記</t>
  </si>
  <si>
    <t xml:space="preserve">廉価ピックアップ</t>
  </si>
  <si>
    <t xml:space="preserve">Yaris Ativ</t>
  </si>
  <si>
    <r>
      <rPr>
        <sz val="10"/>
        <color rgb="FF000000"/>
        <rFont val="Arial"/>
        <family val="0"/>
        <charset val="1"/>
      </rPr>
      <t xml:space="preserve">Vios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AC100</t>
    </r>
    <r>
      <rPr>
        <sz val="10"/>
        <color rgb="FF000000"/>
        <rFont val="Noto Sans CJK SC"/>
        <family val="2"/>
      </rPr>
      <t xml:space="preserve">）</t>
    </r>
  </si>
  <si>
    <t xml:space="preserve">セダン</t>
  </si>
  <si>
    <r>
      <rPr>
        <sz val="10"/>
        <color rgb="FF000000"/>
        <rFont val="Noto Sans CJK SC"/>
        <family val="2"/>
      </rPr>
      <t xml:space="preserve">ガソリン／</t>
    </r>
    <r>
      <rPr>
        <sz val="10"/>
        <color rgb="FF000000"/>
        <rFont val="Arial"/>
        <family val="0"/>
        <charset val="1"/>
      </rPr>
      <t xml:space="preserve">HEV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</si>
  <si>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HEV</t>
    </r>
    <r>
      <rPr>
        <sz val="10"/>
        <color rgb="FF000000"/>
        <rFont val="Noto Sans CJK SC"/>
        <family val="2"/>
      </rPr>
      <t xml:space="preserve">追加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</si>
  <si>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万台以上</t>
    </r>
  </si>
  <si>
    <r>
      <rPr>
        <sz val="10"/>
        <color rgb="FF000000"/>
        <rFont val="Noto Sans CJK SC"/>
        <family val="2"/>
      </rPr>
      <t xml:space="preserve">車名変更（旧</t>
    </r>
    <r>
      <rPr>
        <sz val="10"/>
        <color rgb="FF000000"/>
        <rFont val="Arial"/>
        <family val="0"/>
        <charset val="1"/>
      </rPr>
      <t xml:space="preserve">Vios</t>
    </r>
    <r>
      <rPr>
        <sz val="10"/>
        <color rgb="FF000000"/>
        <rFont val="Noto Sans CJK SC"/>
        <family val="2"/>
      </rPr>
      <t xml:space="preserve">系の後継）</t>
    </r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</si>
  <si>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DNGA</t>
    </r>
    <r>
      <rPr>
        <sz val="10"/>
        <color rgb="FF000000"/>
        <rFont val="Noto Sans CJK SC"/>
        <family val="2"/>
      </rPr>
      <t xml:space="preserve">）</t>
    </r>
  </si>
  <si>
    <t xml:space="preserve">Yaris Cross</t>
  </si>
  <si>
    <r>
      <rPr>
        <sz val="10"/>
        <color rgb="FF000000"/>
        <rFont val="Arial"/>
        <family val="0"/>
        <charset val="1"/>
      </rPr>
      <t xml:space="preserve">Yaris Cross</t>
    </r>
    <r>
      <rPr>
        <sz val="10"/>
        <color rgb="FF000000"/>
        <rFont val="Noto Sans CJK SC"/>
        <family val="2"/>
      </rPr>
      <t xml:space="preserve">（新興国向け）</t>
    </r>
  </si>
  <si>
    <t xml:space="preserve">SUV</t>
  </si>
  <si>
    <t xml:space="preserve">HEV</t>
  </si>
  <si>
    <r>
      <rPr>
        <sz val="10"/>
        <color rgb="FF000000"/>
        <rFont val="Noto Sans CJK SC"/>
        <family val="2"/>
      </rPr>
      <t xml:space="preserve">タイ生産（</t>
    </r>
    <r>
      <rPr>
        <sz val="10"/>
        <color rgb="FF000000"/>
        <rFont val="Arial"/>
        <family val="0"/>
        <charset val="1"/>
      </rPr>
      <t xml:space="preserve">Gateway</t>
    </r>
    <r>
      <rPr>
        <sz val="10"/>
        <color rgb="FF000000"/>
        <rFont val="Noto Sans CJK SC"/>
        <family val="2"/>
      </rPr>
      <t xml:space="preserve">工場）</t>
    </r>
  </si>
  <si>
    <t xml:space="preserve">https://www.wapcar.my/news/price-equals-up-to-rm-115k-2023-toyota-yaris-cross-launched-in-thailand-15l-hybridonly-tss-74208</t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</si>
  <si>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日発売。タイ仕様は</t>
    </r>
    <r>
      <rPr>
        <sz val="10"/>
        <color rgb="FF000000"/>
        <rFont val="Arial"/>
        <family val="0"/>
        <charset val="1"/>
      </rPr>
      <t xml:space="preserve">HEV</t>
    </r>
    <r>
      <rPr>
        <sz val="10"/>
        <color rgb="FF000000"/>
        <rFont val="Noto Sans CJK SC"/>
        <family val="2"/>
      </rPr>
      <t xml:space="preserve">のみ</t>
    </r>
  </si>
  <si>
    <t xml:space="preserve">Corolla Cross</t>
  </si>
  <si>
    <t xml:space="preserve">タイで世界初公開</t>
  </si>
  <si>
    <t xml:space="preserve">Fortuner</t>
  </si>
  <si>
    <r>
      <rPr>
        <sz val="10"/>
        <color rgb="FF000000"/>
        <rFont val="Arial"/>
        <family val="0"/>
        <charset val="1"/>
      </rPr>
      <t xml:space="preserve">SW4</t>
    </r>
    <r>
      <rPr>
        <sz val="10"/>
        <color rgb="FF000000"/>
        <rFont val="Noto Sans CJK SC"/>
        <family val="2"/>
      </rPr>
      <t xml:space="preserve">（南米）</t>
    </r>
  </si>
  <si>
    <t xml:space="preserve">PPV</t>
  </si>
  <si>
    <r>
      <rPr>
        <sz val="10"/>
        <color rgb="FF000000"/>
        <rFont val="Arial"/>
        <family val="0"/>
        <charset val="1"/>
      </rPr>
      <t xml:space="preserve">2020</t>
    </r>
    <r>
      <rPr>
        <sz val="10"/>
        <color rgb="FF000000"/>
        <rFont val="Noto Sans CJK SC"/>
        <family val="2"/>
      </rPr>
      <t xml:space="preserve">年に大幅改良（</t>
    </r>
    <r>
      <rPr>
        <sz val="10"/>
        <color rgb="FF000000"/>
        <rFont val="Arial"/>
        <family val="0"/>
        <charset val="1"/>
      </rPr>
      <t xml:space="preserve">Legender</t>
    </r>
    <r>
      <rPr>
        <sz val="10"/>
        <color rgb="FF000000"/>
        <rFont val="Noto Sans CJK SC"/>
        <family val="2"/>
      </rPr>
      <t xml:space="preserve">追加）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</si>
  <si>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千〜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万台</t>
    </r>
  </si>
  <si>
    <t xml:space="preserve">https://bestsellingcarsblog.com/2015/08/thailand-july-2015-new-toyota-fortuner-and-ford-ranger-land/</t>
  </si>
  <si>
    <t xml:space="preserve">車名初投入年は要確認</t>
  </si>
  <si>
    <t xml:space="preserve">Commuter</t>
  </si>
  <si>
    <r>
      <rPr>
        <sz val="10"/>
        <color rgb="FF000000"/>
        <rFont val="Arial"/>
        <family val="0"/>
        <charset val="1"/>
      </rPr>
      <t xml:space="preserve">Hiace</t>
    </r>
    <r>
      <rPr>
        <sz val="10"/>
        <color rgb="FF000000"/>
        <rFont val="Noto Sans CJK SC"/>
        <family val="2"/>
      </rPr>
      <t xml:space="preserve">系</t>
    </r>
  </si>
  <si>
    <t xml:space="preserve">バン</t>
  </si>
  <si>
    <t xml:space="preserve">要確認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</si>
  <si>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千〜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千台</t>
    </r>
  </si>
  <si>
    <r>
      <rPr>
        <sz val="10"/>
        <color rgb="FF000000"/>
        <rFont val="Arial"/>
        <family val="0"/>
        <charset val="1"/>
      </rPr>
      <t xml:space="preserve">Hiace</t>
    </r>
    <r>
      <rPr>
        <sz val="10"/>
        <color rgb="FF000000"/>
        <rFont val="Noto Sans CJK SC"/>
        <family val="2"/>
      </rPr>
      <t xml:space="preserve">との合算・分離の表記揺れ</t>
    </r>
  </si>
  <si>
    <t xml:space="preserve">C</t>
  </si>
  <si>
    <r>
      <rPr>
        <sz val="10"/>
        <color rgb="FF000000"/>
        <rFont val="Arial"/>
        <family val="0"/>
        <charset val="1"/>
      </rPr>
      <t xml:space="preserve">H300</t>
    </r>
    <r>
      <rPr>
        <sz val="10"/>
        <color rgb="FF000000"/>
        <rFont val="Noto Sans CJK SC"/>
        <family val="2"/>
      </rPr>
      <t xml:space="preserve">系とみられる。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年からランキングで</t>
    </r>
    <r>
      <rPr>
        <sz val="10"/>
        <color rgb="FF000000"/>
        <rFont val="Arial"/>
        <family val="0"/>
        <charset val="1"/>
      </rPr>
      <t xml:space="preserve">Hiace</t>
    </r>
    <r>
      <rPr>
        <sz val="10"/>
        <color rgb="FF000000"/>
        <rFont val="Noto Sans CJK SC"/>
        <family val="2"/>
      </rPr>
      <t xml:space="preserve">と分離表記</t>
    </r>
  </si>
  <si>
    <t xml:space="preserve">Camry</t>
  </si>
  <si>
    <r>
      <rPr>
        <sz val="10"/>
        <color rgb="FF000000"/>
        <rFont val="Arial"/>
        <family val="0"/>
        <charset val="1"/>
      </rPr>
      <t xml:space="preserve">Camry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XV80</t>
    </r>
    <r>
      <rPr>
        <sz val="10"/>
        <color rgb="FF000000"/>
        <rFont val="Noto Sans CJK SC"/>
        <family val="2"/>
      </rPr>
      <t xml:space="preserve">）</t>
    </r>
  </si>
  <si>
    <t xml:space="preserve">https://autobuzz.my/2024/10/11/all-new-9th-gen-toyota-camry-launched-in-thailand-with-three-variants-from-approx-rm190k/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</si>
  <si>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世代。車名は長期使用</t>
    </r>
  </si>
  <si>
    <t xml:space="preserve">Yaris</t>
  </si>
  <si>
    <r>
      <rPr>
        <sz val="10"/>
        <color rgb="FF000000"/>
        <rFont val="Arial"/>
        <family val="0"/>
        <charset val="1"/>
      </rPr>
      <t xml:space="preserve">Yaris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XP150</t>
    </r>
    <r>
      <rPr>
        <sz val="10"/>
        <color rgb="FF000000"/>
        <rFont val="Noto Sans CJK SC"/>
        <family val="2"/>
      </rPr>
      <t xml:space="preserve">系エコカー）</t>
    </r>
  </si>
  <si>
    <t xml:space="preserve">ハッチバック</t>
  </si>
  <si>
    <t xml:space="preserve">ガソリン</t>
  </si>
  <si>
    <r>
      <rPr>
        <sz val="10"/>
        <color rgb="FF000000"/>
        <rFont val="Arial"/>
        <family val="0"/>
        <charset val="1"/>
      </rPr>
      <t xml:space="preserve">2017</t>
    </r>
    <r>
      <rPr>
        <sz val="10"/>
        <color rgb="FF000000"/>
        <rFont val="Noto Sans CJK SC"/>
        <family val="2"/>
      </rPr>
      <t xml:space="preserve">年・</t>
    </r>
    <r>
      <rPr>
        <sz val="10"/>
        <color rgb="FF000000"/>
        <rFont val="Arial"/>
        <family val="0"/>
        <charset val="1"/>
      </rPr>
      <t xml:space="preserve">2020</t>
    </r>
    <r>
      <rPr>
        <sz val="10"/>
        <color rgb="FF000000"/>
        <rFont val="Noto Sans CJK SC"/>
        <family val="2"/>
      </rPr>
      <t xml:space="preserve">年に改良</t>
    </r>
  </si>
  <si>
    <t xml:space="preserve">世代は要確認</t>
  </si>
  <si>
    <t xml:space="preserve">Veloz</t>
  </si>
  <si>
    <r>
      <rPr>
        <sz val="10"/>
        <color rgb="FF000000"/>
        <rFont val="Arial"/>
        <family val="0"/>
        <charset val="1"/>
      </rPr>
      <t xml:space="preserve">Avanza Veloz</t>
    </r>
    <r>
      <rPr>
        <sz val="10"/>
        <color rgb="FF000000"/>
        <rFont val="Noto Sans CJK SC"/>
        <family val="2"/>
      </rPr>
      <t xml:space="preserve">（インドネシア）</t>
    </r>
  </si>
  <si>
    <t xml:space="preserve">MPV</t>
  </si>
  <si>
    <t xml:space="preserve">輸入（インドネシア）</t>
  </si>
  <si>
    <r>
      <rPr>
        <sz val="10"/>
        <color rgb="FF000000"/>
        <rFont val="Noto Sans CJK SC"/>
        <family val="2"/>
      </rPr>
      <t xml:space="preserve">車名変更（旧</t>
    </r>
    <r>
      <rPr>
        <sz val="10"/>
        <color rgb="FF000000"/>
        <rFont val="Arial"/>
        <family val="0"/>
        <charset val="1"/>
      </rPr>
      <t xml:space="preserve">Avanza</t>
    </r>
    <r>
      <rPr>
        <sz val="10"/>
        <color rgb="FF000000"/>
        <rFont val="Noto Sans CJK SC"/>
        <family val="2"/>
      </rPr>
      <t xml:space="preserve">）</t>
    </r>
  </si>
  <si>
    <t xml:space="preserve">https://autobuzz.my/2022/02/24/2022-toyota-veloz-launched-in-thailand-to-replace-ageing-avanza/</t>
  </si>
  <si>
    <r>
      <rPr>
        <sz val="10"/>
        <color rgb="FF000000"/>
        <rFont val="Arial"/>
        <family val="0"/>
        <charset val="1"/>
      </rPr>
      <t xml:space="preserve">Avanza</t>
    </r>
    <r>
      <rPr>
        <sz val="10"/>
        <color rgb="FF000000"/>
        <rFont val="Noto Sans CJK SC"/>
        <family val="2"/>
      </rPr>
      <t xml:space="preserve">の後継</t>
    </r>
  </si>
  <si>
    <t xml:space="preserve">Alphard</t>
  </si>
  <si>
    <r>
      <rPr>
        <sz val="10"/>
        <color rgb="FF000000"/>
        <rFont val="Arial"/>
        <family val="0"/>
        <charset val="1"/>
      </rPr>
      <t xml:space="preserve">Alphard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系）</t>
    </r>
  </si>
  <si>
    <t xml:space="preserve">輸入（日本）</t>
  </si>
  <si>
    <t xml:space="preserve">https://autobuzz.my/2023/08/17/all-new-toyota-alphard-vellfire-launched-in-thailand-6-seater-boss-carriers-with-2-5-litre-hybrid/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</si>
  <si>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世代。</t>
    </r>
    <r>
      <rPr>
        <sz val="10"/>
        <color rgb="FF000000"/>
        <rFont val="Arial"/>
        <family val="0"/>
        <charset val="1"/>
      </rPr>
      <t xml:space="preserve">Vellfire</t>
    </r>
    <r>
      <rPr>
        <sz val="10"/>
        <color rgb="FF000000"/>
        <rFont val="Noto Sans CJK SC"/>
        <family val="2"/>
      </rPr>
      <t xml:space="preserve">と同時発売</t>
    </r>
  </si>
  <si>
    <t xml:space="preserve">Hiace</t>
  </si>
  <si>
    <r>
      <rPr>
        <sz val="10"/>
        <color rgb="FF000000"/>
        <rFont val="Arial"/>
        <family val="0"/>
        <charset val="1"/>
      </rPr>
      <t xml:space="preserve">Commuter</t>
    </r>
    <r>
      <rPr>
        <sz val="10"/>
        <color rgb="FF000000"/>
        <rFont val="Noto Sans CJK SC"/>
        <family val="2"/>
      </rPr>
      <t xml:space="preserve">との合算・分離の表記揺れ</t>
    </r>
  </si>
  <si>
    <r>
      <rPr>
        <sz val="10"/>
        <color rgb="FF000000"/>
        <rFont val="Arial"/>
        <family val="0"/>
        <charset val="1"/>
      </rPr>
      <t xml:space="preserve">H300</t>
    </r>
    <r>
      <rPr>
        <sz val="10"/>
        <color rgb="FF000000"/>
        <rFont val="Noto Sans CJK SC"/>
        <family val="2"/>
      </rPr>
      <t xml:space="preserve">系とみられる</t>
    </r>
  </si>
  <si>
    <t xml:space="preserve">Vellfire</t>
  </si>
  <si>
    <r>
      <rPr>
        <sz val="10"/>
        <color rgb="FF000000"/>
        <rFont val="Arial"/>
        <family val="0"/>
        <charset val="1"/>
      </rPr>
      <t xml:space="preserve">Alphard</t>
    </r>
    <r>
      <rPr>
        <sz val="10"/>
        <color rgb="FF000000"/>
        <rFont val="Noto Sans CJK SC"/>
        <family val="2"/>
      </rPr>
      <t xml:space="preserve">と同時発売</t>
    </r>
  </si>
  <si>
    <t xml:space="preserve">Corolla Altis</t>
  </si>
  <si>
    <r>
      <rPr>
        <sz val="10"/>
        <color rgb="FF000000"/>
        <rFont val="Arial"/>
        <family val="0"/>
        <charset val="1"/>
      </rPr>
      <t xml:space="preserve">Corolla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</si>
  <si>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世代</t>
    </r>
  </si>
  <si>
    <t xml:space="preserve">Land Cruiser FJ</t>
  </si>
  <si>
    <r>
      <rPr>
        <sz val="10"/>
        <color rgb="FF000000"/>
        <rFont val="Arial"/>
        <family val="0"/>
        <charset val="1"/>
      </rPr>
      <t xml:space="preserve">SUV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PPV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</si>
  <si>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タイ生産（</t>
    </r>
    <r>
      <rPr>
        <sz val="10"/>
        <color rgb="FF000000"/>
        <rFont val="Arial"/>
        <family val="0"/>
        <charset val="1"/>
      </rPr>
      <t xml:space="preserve">Ban Pho</t>
    </r>
    <r>
      <rPr>
        <sz val="10"/>
        <color rgb="FF000000"/>
        <rFont val="Noto Sans CJK SC"/>
        <family val="2"/>
      </rPr>
      <t xml:space="preserve">工場）</t>
    </r>
  </si>
  <si>
    <t xml:space="preserve">https://en.thairath.co.th/news/auto/2921594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</si>
  <si>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日発売。タイが世界初の発売国</t>
    </r>
  </si>
  <si>
    <t xml:space="preserve">Innova Zenix</t>
  </si>
  <si>
    <r>
      <rPr>
        <sz val="10"/>
        <color rgb="FF000000"/>
        <rFont val="Arial"/>
        <family val="0"/>
        <charset val="1"/>
      </rPr>
      <t xml:space="preserve">Innova Hycross</t>
    </r>
    <r>
      <rPr>
        <sz val="10"/>
        <color rgb="FF000000"/>
        <rFont val="Noto Sans CJK SC"/>
        <family val="2"/>
      </rPr>
      <t xml:space="preserve">（インド）</t>
    </r>
  </si>
  <si>
    <r>
      <rPr>
        <sz val="10"/>
        <color rgb="FF000000"/>
        <rFont val="Noto Sans CJK SC"/>
        <family val="2"/>
      </rPr>
      <t xml:space="preserve">車名変更（旧</t>
    </r>
    <r>
      <rPr>
        <sz val="10"/>
        <color rgb="FF000000"/>
        <rFont val="Arial"/>
        <family val="0"/>
        <charset val="1"/>
      </rPr>
      <t xml:space="preserve">Innova Crysta</t>
    </r>
    <r>
      <rPr>
        <sz val="10"/>
        <color rgb="FF000000"/>
        <rFont val="Noto Sans CJK SC"/>
        <family val="2"/>
      </rPr>
      <t xml:space="preserve">）</t>
    </r>
  </si>
  <si>
    <t xml:space="preserve">https://Www.wapcar.my/news/after-malaysia-thailand-finally-gets-the-allnew-2023-toyota-innova-zenix-hybrid-only-and-priced-from-rm-185k-70989</t>
  </si>
  <si>
    <r>
      <rPr>
        <sz val="10"/>
        <color rgb="FF000000"/>
        <rFont val="Noto Sans CJK SC"/>
        <family val="2"/>
      </rPr>
      <t xml:space="preserve">発売月は報道時期からの推定。ランキング上の表記は</t>
    </r>
    <r>
      <rPr>
        <sz val="10"/>
        <color rgb="FF000000"/>
        <rFont val="Arial"/>
        <family val="0"/>
        <charset val="1"/>
      </rPr>
      <t xml:space="preserve">Innova</t>
    </r>
  </si>
  <si>
    <t xml:space="preserve">bZ4X</t>
  </si>
  <si>
    <t xml:space="preserve">BEV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</si>
  <si>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年末〜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 大幅改良（電池容量拡大）</t>
    </r>
  </si>
  <si>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千台</t>
    </r>
  </si>
  <si>
    <t xml:space="preserve">改良後に販売急増</t>
  </si>
  <si>
    <t xml:space="preserve">https://carz.com.my/2022/11/toyota-bz4x-ev-exceeds-initial-pre-order-expectations-in-thailand</t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</si>
  <si>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月に予約受付開始。改良の時期は要確認</t>
    </r>
  </si>
  <si>
    <r>
      <rPr>
        <sz val="10"/>
        <color rgb="FF000000"/>
        <rFont val="Arial"/>
        <family val="0"/>
        <charset val="1"/>
      </rPr>
      <t xml:space="preserve">Land Cruiser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系ほか）</t>
    </r>
  </si>
  <si>
    <t xml:space="preserve">ガソリン／ディーゼル</t>
  </si>
  <si>
    <r>
      <rPr>
        <sz val="10"/>
        <color rgb="FF000000"/>
        <rFont val="Noto Sans CJK SC"/>
        <family val="2"/>
      </rPr>
      <t xml:space="preserve">ランキング表記は</t>
    </r>
    <r>
      <rPr>
        <sz val="10"/>
        <color rgb="FF000000"/>
        <rFont val="Arial"/>
        <family val="0"/>
        <charset val="1"/>
      </rPr>
      <t xml:space="preserve">Land Cruiser/Prado</t>
    </r>
  </si>
  <si>
    <t xml:space="preserve">Land Cruiser 250</t>
  </si>
  <si>
    <t xml:space="preserve">Land Cruiser Prado</t>
  </si>
  <si>
    <t xml:space="preserve">GR86</t>
  </si>
  <si>
    <t xml:space="preserve">クーペ</t>
  </si>
  <si>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台未満</t>
    </r>
  </si>
  <si>
    <t xml:space="preserve">GR Yaris</t>
  </si>
  <si>
    <t xml:space="preserve">Lexus</t>
  </si>
  <si>
    <t xml:space="preserve">LM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</si>
  <si>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世代</t>
    </r>
  </si>
  <si>
    <t xml:space="preserve">NX</t>
  </si>
  <si>
    <r>
      <rPr>
        <sz val="10"/>
        <color rgb="FF000000"/>
        <rFont val="Arial"/>
        <family val="0"/>
        <charset val="1"/>
      </rPr>
      <t xml:space="preserve">HEV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PHEV</t>
    </r>
  </si>
  <si>
    <t xml:space="preserve">RX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</si>
  <si>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世代</t>
    </r>
  </si>
  <si>
    <t xml:space="preserve">ホンダ</t>
  </si>
  <si>
    <t xml:space="preserve">Honda</t>
  </si>
  <si>
    <r>
      <rPr>
        <sz val="10"/>
        <color rgb="FF000000"/>
        <rFont val="Arial"/>
        <family val="0"/>
        <charset val="1"/>
      </rPr>
      <t xml:space="preserve">City</t>
    </r>
    <r>
      <rPr>
        <sz val="10"/>
        <color rgb="FF000000"/>
        <rFont val="Noto Sans CJK SC"/>
        <family val="2"/>
      </rPr>
      <t xml:space="preserve">（セダン）</t>
    </r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</si>
  <si>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年に改良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</si>
  <si>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万台以上（セダン・</t>
    </r>
    <r>
      <rPr>
        <sz val="10"/>
        <color rgb="FF000000"/>
        <rFont val="Arial"/>
        <family val="0"/>
        <charset val="1"/>
      </rPr>
      <t xml:space="preserve">HB</t>
    </r>
    <r>
      <rPr>
        <sz val="10"/>
        <color rgb="FF000000"/>
        <rFont val="Noto Sans CJK SC"/>
        <family val="2"/>
      </rPr>
      <t xml:space="preserve">合算）</t>
    </r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</si>
  <si>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世代。タイで世界初公開</t>
    </r>
  </si>
  <si>
    <t xml:space="preserve">City Hatchback</t>
  </si>
  <si>
    <r>
      <rPr>
        <sz val="10"/>
        <color rgb="FF000000"/>
        <rFont val="Arial"/>
        <family val="0"/>
        <charset val="1"/>
      </rPr>
      <t xml:space="preserve">Jazz</t>
    </r>
    <r>
      <rPr>
        <sz val="10"/>
        <color rgb="FF000000"/>
        <rFont val="Noto Sans CJK SC"/>
        <family val="2"/>
      </rPr>
      <t xml:space="preserve">の後継</t>
    </r>
  </si>
  <si>
    <t xml:space="preserve">HR-V</t>
  </si>
  <si>
    <r>
      <rPr>
        <sz val="10"/>
        <color rgb="FF000000"/>
        <rFont val="Arial"/>
        <family val="0"/>
        <charset val="1"/>
      </rPr>
      <t xml:space="preserve">Vezel</t>
    </r>
    <r>
      <rPr>
        <sz val="10"/>
        <color rgb="FF000000"/>
        <rFont val="Noto Sans CJK SC"/>
        <family val="2"/>
      </rPr>
      <t xml:space="preserve">（日本）</t>
    </r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</si>
  <si>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世代。タイ仕様は</t>
    </r>
    <r>
      <rPr>
        <sz val="10"/>
        <color rgb="FF000000"/>
        <rFont val="Arial"/>
        <family val="0"/>
        <charset val="1"/>
      </rPr>
      <t xml:space="preserve">HEV</t>
    </r>
    <r>
      <rPr>
        <sz val="10"/>
        <color rgb="FF000000"/>
        <rFont val="Noto Sans CJK SC"/>
        <family val="2"/>
      </rPr>
      <t xml:space="preserve">のみ</t>
    </r>
  </si>
  <si>
    <t xml:space="preserve">Civic</t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</si>
  <si>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e:HEV</t>
    </r>
    <r>
      <rPr>
        <sz val="10"/>
        <color rgb="FF000000"/>
        <rFont val="Noto Sans CJK SC"/>
        <family val="2"/>
      </rPr>
      <t xml:space="preserve">追加</t>
    </r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</si>
  <si>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世代。車名は長期使用</t>
    </r>
  </si>
  <si>
    <t xml:space="preserve">CR-V</t>
  </si>
  <si>
    <t xml:space="preserve">https://www.thestorythailand.com/en/?p=94133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</si>
  <si>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世代。ターボは</t>
    </r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月、</t>
    </r>
    <r>
      <rPr>
        <sz val="10"/>
        <color rgb="FF000000"/>
        <rFont val="Arial"/>
        <family val="0"/>
        <charset val="1"/>
      </rPr>
      <t xml:space="preserve">e:HEV</t>
    </r>
    <r>
      <rPr>
        <sz val="10"/>
        <color rgb="FF000000"/>
        <rFont val="Noto Sans CJK SC"/>
        <family val="2"/>
      </rPr>
      <t xml:space="preserve">は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月から販売</t>
    </r>
  </si>
  <si>
    <t xml:space="preserve">Accord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</si>
  <si>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月改良</t>
    </r>
  </si>
  <si>
    <t xml:space="preserve">https://www.topgear.com.ph/news/car-news/honda-accord-thailand-g11-a5100-20231002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</si>
  <si>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世代。</t>
    </r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月に発表・価格公表</t>
    </r>
  </si>
  <si>
    <t xml:space="preserve">Step WGN</t>
  </si>
  <si>
    <r>
      <rPr>
        <sz val="10"/>
        <color rgb="FF000000"/>
        <rFont val="Arial"/>
        <family val="0"/>
        <charset val="1"/>
      </rPr>
      <t xml:space="preserve">STEP WGN</t>
    </r>
    <r>
      <rPr>
        <sz val="10"/>
        <color rgb="FF000000"/>
        <rFont val="Noto Sans CJK SC"/>
        <family val="2"/>
      </rPr>
      <t xml:space="preserve">（日本）</t>
    </r>
  </si>
  <si>
    <r>
      <rPr>
        <sz val="10"/>
        <color rgb="FF000000"/>
        <rFont val="Noto Sans CJK SC"/>
        <family val="2"/>
      </rPr>
      <t xml:space="preserve">公開（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）と価格発表（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）にずれ</t>
    </r>
  </si>
  <si>
    <t xml:space="preserve">https://paultan.org/2026/03/27/honda-stepwgn-2026-dipamer-di-thailand-varian-spada-hibrid-2-0l-import-dari-jepun-rm216k/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</si>
  <si>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月のモーターエキスポで公開、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月に価格発表</t>
    </r>
  </si>
  <si>
    <t xml:space="preserve">e:N1</t>
  </si>
  <si>
    <r>
      <rPr>
        <sz val="10"/>
        <color rgb="FF000000"/>
        <rFont val="Arial"/>
        <family val="0"/>
        <charset val="1"/>
      </rPr>
      <t xml:space="preserve">e:NS1</t>
    </r>
    <r>
      <rPr>
        <sz val="10"/>
        <color rgb="FF000000"/>
        <rFont val="Noto Sans CJK SC"/>
        <family val="2"/>
      </rPr>
      <t xml:space="preserve">（中国）</t>
    </r>
  </si>
  <si>
    <t xml:space="preserve">発売月は要確認</t>
  </si>
  <si>
    <t xml:space="preserve">e:N2</t>
  </si>
  <si>
    <r>
      <rPr>
        <sz val="10"/>
        <color rgb="FF000000"/>
        <rFont val="Arial"/>
        <family val="0"/>
        <charset val="1"/>
      </rPr>
      <t xml:space="preserve">e:NS2</t>
    </r>
    <r>
      <rPr>
        <sz val="10"/>
        <color rgb="FF000000"/>
        <rFont val="Noto Sans CJK SC"/>
        <family val="2"/>
      </rPr>
      <t xml:space="preserve">（中国）／</t>
    </r>
    <r>
      <rPr>
        <sz val="10"/>
        <color rgb="FF000000"/>
        <rFont val="Arial"/>
        <family val="0"/>
        <charset val="1"/>
      </rPr>
      <t xml:space="preserve">Insight</t>
    </r>
    <r>
      <rPr>
        <sz val="10"/>
        <color rgb="FF000000"/>
        <rFont val="Noto Sans CJK SC"/>
        <family val="2"/>
      </rPr>
      <t xml:space="preserve">（日本）</t>
    </r>
  </si>
  <si>
    <t xml:space="preserve">輸入（中国）</t>
  </si>
  <si>
    <t xml:space="preserve">https://www.electrive.com/2026/03/05/honda-to-launch-china-focused-ens2-in-thailand-and-japan/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</si>
  <si>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月のバンコク・モーターショーで発売</t>
    </r>
  </si>
  <si>
    <t xml:space="preserve">いすゞ</t>
  </si>
  <si>
    <t xml:space="preserve">Isuzu</t>
  </si>
  <si>
    <t xml:space="preserve">D-Max</t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</si>
  <si>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年に大幅改良</t>
    </r>
  </si>
  <si>
    <r>
      <rPr>
        <sz val="10"/>
        <color rgb="FF000000"/>
        <rFont val="Arial"/>
        <family val="0"/>
        <charset val="1"/>
      </rPr>
      <t xml:space="preserve">D-Max EV</t>
    </r>
    <r>
      <rPr>
        <sz val="10"/>
        <color rgb="FF000000"/>
        <rFont val="Noto Sans CJK SC"/>
        <family val="2"/>
      </rPr>
      <t xml:space="preserve">を含む可能性</t>
    </r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</si>
  <si>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世代</t>
    </r>
  </si>
  <si>
    <t xml:space="preserve">MU-X</t>
  </si>
  <si>
    <t xml:space="preserve">D-Max EV</t>
  </si>
  <si>
    <r>
      <rPr>
        <sz val="10"/>
        <color rgb="FF000000"/>
        <rFont val="Noto Sans CJK SC"/>
        <family val="2"/>
      </rPr>
      <t xml:space="preserve">不明（</t>
    </r>
    <r>
      <rPr>
        <sz val="10"/>
        <color rgb="FF000000"/>
        <rFont val="Arial"/>
        <family val="0"/>
        <charset val="1"/>
      </rPr>
      <t xml:space="preserve">D-Max</t>
    </r>
    <r>
      <rPr>
        <sz val="10"/>
        <color rgb="FF000000"/>
        <rFont val="Noto Sans CJK SC"/>
        <family val="2"/>
      </rPr>
      <t xml:space="preserve">に合算の可能性）</t>
    </r>
  </si>
  <si>
    <t xml:space="preserve">合算表記の可能性</t>
  </si>
  <si>
    <t xml:space="preserve">https://en.thairath.co.th/news/auto/2920545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</si>
  <si>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日発売。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年半ばから欧州向けにタイで生産</t>
    </r>
  </si>
  <si>
    <t xml:space="preserve">三菱自</t>
  </si>
  <si>
    <t xml:space="preserve">Mitsubishi</t>
  </si>
  <si>
    <t xml:space="preserve">Xforce</t>
  </si>
  <si>
    <r>
      <rPr>
        <sz val="10"/>
        <color rgb="FF000000"/>
        <rFont val="Noto Sans CJK SC"/>
        <family val="2"/>
      </rPr>
      <t xml:space="preserve">タイ生産（</t>
    </r>
    <r>
      <rPr>
        <sz val="10"/>
        <color rgb="FF000000"/>
        <rFont val="Arial"/>
        <family val="0"/>
        <charset val="1"/>
      </rPr>
      <t xml:space="preserve">Laem Chabang</t>
    </r>
    <r>
      <rPr>
        <sz val="10"/>
        <color rgb="FF000000"/>
        <rFont val="Noto Sans CJK SC"/>
        <family val="2"/>
      </rPr>
      <t xml:space="preserve">）</t>
    </r>
  </si>
  <si>
    <t xml:space="preserve">https://c.8891.com.tw/news/19900</t>
  </si>
  <si>
    <r>
      <rPr>
        <sz val="10"/>
        <color rgb="FF000000"/>
        <rFont val="Noto Sans CJK SC"/>
        <family val="2"/>
      </rPr>
      <t xml:space="preserve">タイ仕様は</t>
    </r>
    <r>
      <rPr>
        <sz val="10"/>
        <color rgb="FF000000"/>
        <rFont val="Arial"/>
        <family val="0"/>
        <charset val="1"/>
      </rPr>
      <t xml:space="preserve">HEV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月のバンコク・モーターショーで発売</t>
    </r>
  </si>
  <si>
    <t xml:space="preserve">Triton</t>
  </si>
  <si>
    <r>
      <rPr>
        <sz val="10"/>
        <color rgb="FF000000"/>
        <rFont val="Arial"/>
        <family val="0"/>
        <charset val="1"/>
      </rPr>
      <t xml:space="preserve">L200</t>
    </r>
    <r>
      <rPr>
        <sz val="10"/>
        <color rgb="FF000000"/>
        <rFont val="Noto Sans CJK SC"/>
        <family val="2"/>
      </rPr>
      <t xml:space="preserve">（一部市場）</t>
    </r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</si>
  <si>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世代。タイで世界初公開</t>
    </r>
  </si>
  <si>
    <t xml:space="preserve">Xpander Cross</t>
  </si>
  <si>
    <r>
      <rPr>
        <sz val="10"/>
        <color rgb="FF000000"/>
        <rFont val="Arial"/>
        <family val="0"/>
        <charset val="1"/>
      </rPr>
      <t xml:space="preserve">MPV</t>
    </r>
    <r>
      <rPr>
        <sz val="10"/>
        <color rgb="FF000000"/>
        <rFont val="Noto Sans CJK SC"/>
        <family val="2"/>
      </rPr>
      <t xml:space="preserve">（クロスオーバー）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</si>
  <si>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月改良（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年型）</t>
    </r>
  </si>
  <si>
    <r>
      <rPr>
        <sz val="10"/>
        <color rgb="FF000000"/>
        <rFont val="Noto Sans CJK SC"/>
        <family val="2"/>
      </rPr>
      <t xml:space="preserve">ランキングは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年から</t>
    </r>
    <r>
      <rPr>
        <sz val="10"/>
        <color rgb="FF000000"/>
        <rFont val="Arial"/>
        <family val="0"/>
        <charset val="1"/>
      </rPr>
      <t xml:space="preserve">Xpander</t>
    </r>
    <r>
      <rPr>
        <sz val="10"/>
        <color rgb="FF000000"/>
        <rFont val="Noto Sans CJK SC"/>
        <family val="2"/>
      </rPr>
      <t xml:space="preserve">と分離表記</t>
    </r>
  </si>
  <si>
    <t xml:space="preserve">https://paultan.org/tags/bangkok-motor-show-2026/page/2/</t>
  </si>
  <si>
    <t xml:space="preserve">Attrage</t>
  </si>
  <si>
    <t xml:space="preserve">複数回改良</t>
  </si>
  <si>
    <t xml:space="preserve">Pajero Sport</t>
  </si>
  <si>
    <r>
      <rPr>
        <sz val="10"/>
        <color rgb="FF000000"/>
        <rFont val="Arial"/>
        <family val="0"/>
        <charset val="1"/>
      </rPr>
      <t xml:space="preserve">Montero Sport</t>
    </r>
    <r>
      <rPr>
        <sz val="10"/>
        <color rgb="FF000000"/>
        <rFont val="Noto Sans CJK SC"/>
        <family val="2"/>
      </rPr>
      <t xml:space="preserve">（一部市場）</t>
    </r>
  </si>
  <si>
    <r>
      <rPr>
        <sz val="10"/>
        <color rgb="FF000000"/>
        <rFont val="Arial"/>
        <family val="0"/>
        <charset val="1"/>
      </rPr>
      <t xml:space="preserve">2019</t>
    </r>
    <r>
      <rPr>
        <sz val="10"/>
        <color rgb="FF000000"/>
        <rFont val="Noto Sans CJK SC"/>
        <family val="2"/>
      </rPr>
      <t xml:space="preserve">年に大幅改良</t>
    </r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</si>
  <si>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世代。車名初投入年は要確認</t>
    </r>
  </si>
  <si>
    <t xml:space="preserve">Mirage</t>
  </si>
  <si>
    <r>
      <rPr>
        <sz val="10"/>
        <color rgb="FF000000"/>
        <rFont val="Arial"/>
        <family val="0"/>
        <charset val="1"/>
      </rPr>
      <t xml:space="preserve">Space Star</t>
    </r>
    <r>
      <rPr>
        <sz val="10"/>
        <color rgb="FF000000"/>
        <rFont val="Noto Sans CJK SC"/>
        <family val="2"/>
      </rPr>
      <t xml:space="preserve">（欧州）</t>
    </r>
  </si>
  <si>
    <t xml:space="preserve">Xpander</t>
  </si>
  <si>
    <r>
      <rPr>
        <sz val="10"/>
        <color rgb="FF000000"/>
        <rFont val="Noto Sans CJK SC"/>
        <family val="2"/>
      </rPr>
      <t xml:space="preserve">ランキングは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年から</t>
    </r>
    <r>
      <rPr>
        <sz val="10"/>
        <color rgb="FF000000"/>
        <rFont val="Arial"/>
        <family val="0"/>
        <charset val="1"/>
      </rPr>
      <t xml:space="preserve">Xpander Cross</t>
    </r>
    <r>
      <rPr>
        <sz val="10"/>
        <color rgb="FF000000"/>
        <rFont val="Noto Sans CJK SC"/>
        <family val="2"/>
      </rPr>
      <t xml:space="preserve">と分離表記</t>
    </r>
  </si>
  <si>
    <t xml:space="preserve">日産</t>
  </si>
  <si>
    <t xml:space="preserve">Nissan</t>
  </si>
  <si>
    <t xml:space="preserve">Serena</t>
  </si>
  <si>
    <r>
      <rPr>
        <sz val="10"/>
        <color rgb="FF000000"/>
        <rFont val="Arial"/>
        <family val="0"/>
        <charset val="1"/>
      </rPr>
      <t xml:space="preserve">HEV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e-POWER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</si>
  <si>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旧世代（</t>
    </r>
    <r>
      <rPr>
        <sz val="10"/>
        <color rgb="FF000000"/>
        <rFont val="Arial"/>
        <family val="0"/>
        <charset val="1"/>
      </rPr>
      <t xml:space="preserve">C27</t>
    </r>
    <r>
      <rPr>
        <sz val="10"/>
        <color rgb="FF000000"/>
        <rFont val="Noto Sans CJK SC"/>
        <family val="2"/>
      </rPr>
      <t xml:space="preserve">、マレーシア製）と併売</t>
    </r>
  </si>
  <si>
    <t xml:space="preserve">https://www.wapcar.my/news/priced-from-equivalent-of-rm-220k-c28-nissan-serena-e-power-launched-in-thailand-740146</t>
  </si>
  <si>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型。</t>
    </r>
    <r>
      <rPr>
        <sz val="10"/>
        <color rgb="FF000000"/>
        <rFont val="Arial"/>
        <family val="0"/>
        <charset val="1"/>
      </rPr>
      <t xml:space="preserve">C27</t>
    </r>
    <r>
      <rPr>
        <sz val="10"/>
        <color rgb="FF000000"/>
        <rFont val="Noto Sans CJK SC"/>
        <family val="2"/>
      </rPr>
      <t xml:space="preserve">型は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月発売</t>
    </r>
  </si>
  <si>
    <t xml:space="preserve">Kicks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</si>
  <si>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月改良（新意匠）</t>
    </r>
  </si>
  <si>
    <t xml:space="preserve">Almera</t>
  </si>
  <si>
    <r>
      <rPr>
        <sz val="10"/>
        <color rgb="FF000000"/>
        <rFont val="Arial"/>
        <family val="0"/>
        <charset val="1"/>
      </rPr>
      <t xml:space="preserve">Versa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Sunny</t>
    </r>
  </si>
  <si>
    <t xml:space="preserve">Navara</t>
  </si>
  <si>
    <r>
      <rPr>
        <sz val="10"/>
        <color rgb="FF000000"/>
        <rFont val="Arial"/>
        <family val="0"/>
        <charset val="1"/>
      </rPr>
      <t xml:space="preserve">Frontier</t>
    </r>
    <r>
      <rPr>
        <sz val="10"/>
        <color rgb="FF000000"/>
        <rFont val="Noto Sans CJK SC"/>
        <family val="2"/>
      </rPr>
      <t xml:space="preserve">（一部市場）</t>
    </r>
  </si>
  <si>
    <r>
      <rPr>
        <sz val="10"/>
        <color rgb="FF000000"/>
        <rFont val="Arial"/>
        <family val="0"/>
        <charset val="1"/>
      </rPr>
      <t xml:space="preserve">2020</t>
    </r>
    <r>
      <rPr>
        <sz val="10"/>
        <color rgb="FF000000"/>
        <rFont val="Noto Sans CJK SC"/>
        <family val="2"/>
      </rPr>
      <t xml:space="preserve">年に改良</t>
    </r>
  </si>
  <si>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型。車名初投入年は要確認</t>
    </r>
  </si>
  <si>
    <t xml:space="preserve">X-Trail</t>
  </si>
  <si>
    <t xml:space="preserve">輸入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</si>
  <si>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年の販売実績ほぼなし</t>
    </r>
  </si>
  <si>
    <r>
      <rPr>
        <sz val="10"/>
        <color rgb="FF000000"/>
        <rFont val="Arial"/>
        <family val="0"/>
        <charset val="1"/>
      </rPr>
      <t xml:space="preserve">T33</t>
    </r>
    <r>
      <rPr>
        <sz val="10"/>
        <color rgb="FF000000"/>
        <rFont val="Noto Sans CJK SC"/>
        <family val="2"/>
      </rPr>
      <t xml:space="preserve">型。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年に販売再開とみられる</t>
    </r>
  </si>
  <si>
    <t xml:space="preserve">マツダ</t>
  </si>
  <si>
    <t xml:space="preserve">Mazda</t>
  </si>
  <si>
    <t xml:space="preserve">Mazda2</t>
  </si>
  <si>
    <r>
      <rPr>
        <sz val="10"/>
        <color rgb="FF000000"/>
        <rFont val="Arial"/>
        <family val="0"/>
        <charset val="1"/>
      </rPr>
      <t xml:space="preserve">Demio</t>
    </r>
    <r>
      <rPr>
        <sz val="10"/>
        <color rgb="FF000000"/>
        <rFont val="Noto Sans CJK SC"/>
        <family val="2"/>
      </rPr>
      <t xml:space="preserve">（旧名）</t>
    </r>
  </si>
  <si>
    <t xml:space="preserve">ハッチバック／セダン</t>
  </si>
  <si>
    <r>
      <rPr>
        <sz val="10"/>
        <color rgb="FF000000"/>
        <rFont val="Arial"/>
        <family val="0"/>
        <charset val="1"/>
      </rPr>
      <t xml:space="preserve">DJ</t>
    </r>
    <r>
      <rPr>
        <sz val="10"/>
        <color rgb="FF000000"/>
        <rFont val="Noto Sans CJK SC"/>
        <family val="2"/>
      </rPr>
      <t xml:space="preserve">型</t>
    </r>
  </si>
  <si>
    <t xml:space="preserve">CX-30</t>
  </si>
  <si>
    <t xml:space="preserve">CX-3</t>
  </si>
  <si>
    <t xml:space="preserve">CX-5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</si>
  <si>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KF</t>
    </r>
    <r>
      <rPr>
        <sz val="10"/>
        <color rgb="FF000000"/>
        <rFont val="Noto Sans CJK SC"/>
        <family val="2"/>
      </rPr>
      <t xml:space="preserve">型）。第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世代のタイ投入は未確認</t>
    </r>
  </si>
  <si>
    <t xml:space="preserve">Mazda 6e</t>
  </si>
  <si>
    <r>
      <rPr>
        <sz val="10"/>
        <color rgb="FF000000"/>
        <rFont val="Arial"/>
        <family val="0"/>
        <charset val="1"/>
      </rPr>
      <t xml:space="preserve">EZ-6</t>
    </r>
    <r>
      <rPr>
        <sz val="10"/>
        <color rgb="FF000000"/>
        <rFont val="Noto Sans CJK SC"/>
        <family val="2"/>
      </rPr>
      <t xml:space="preserve">（中国）</t>
    </r>
  </si>
  <si>
    <t xml:space="preserve">セダン（リフトバック）</t>
  </si>
  <si>
    <r>
      <rPr>
        <sz val="10"/>
        <color rgb="FF000000"/>
        <rFont val="Noto Sans CJK SC"/>
        <family val="2"/>
      </rPr>
      <t xml:space="preserve">発表（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）と納車（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）にずれ</t>
    </r>
  </si>
  <si>
    <t xml:space="preserve">https://en.thairath.co.th/news/auto/2922284</t>
  </si>
  <si>
    <r>
      <rPr>
        <sz val="10"/>
        <color rgb="FF000000"/>
        <rFont val="Noto Sans CJK SC"/>
        <family val="2"/>
      </rPr>
      <t xml:space="preserve">長安マツダ製。初回分は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月着、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月から納車</t>
    </r>
  </si>
  <si>
    <t xml:space="preserve">Mazda3</t>
  </si>
  <si>
    <t xml:space="preserve">セダン／ハッチバック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</si>
  <si>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世代</t>
    </r>
  </si>
  <si>
    <t xml:space="preserve">CX-8</t>
  </si>
  <si>
    <t xml:space="preserve">スズキ</t>
  </si>
  <si>
    <t xml:space="preserve">Suzuki</t>
  </si>
  <si>
    <t xml:space="preserve">Swift</t>
  </si>
  <si>
    <r>
      <rPr>
        <sz val="10"/>
        <color rgb="FF000000"/>
        <rFont val="Noto Sans CJK SC"/>
        <family val="2"/>
      </rPr>
      <t xml:space="preserve">タイ生産（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年末で終了）</t>
    </r>
  </si>
  <si>
    <t xml:space="preserve">生産終了に伴う在庫販売の可能性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</si>
  <si>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世代とみられる</t>
    </r>
  </si>
  <si>
    <t xml:space="preserve">Fronx</t>
  </si>
  <si>
    <t xml:space="preserve">https://www.suzuki.co.th/en/news/articles/news-223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</si>
  <si>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日発売</t>
    </r>
  </si>
  <si>
    <t xml:space="preserve">Carry Pro</t>
  </si>
  <si>
    <t xml:space="preserve">ピックアップ（小型）</t>
  </si>
  <si>
    <t xml:space="preserve">Celerio</t>
  </si>
  <si>
    <t xml:space="preserve">Jimny</t>
  </si>
  <si>
    <t xml:space="preserve">XL7</t>
  </si>
  <si>
    <r>
      <rPr>
        <sz val="10"/>
        <color rgb="FF000000"/>
        <rFont val="Noto Sans CJK SC"/>
        <family val="2"/>
      </rPr>
      <t xml:space="preserve">ガソリン／マイルド</t>
    </r>
    <r>
      <rPr>
        <sz val="10"/>
        <color rgb="FF000000"/>
        <rFont val="Arial"/>
        <family val="0"/>
        <charset val="1"/>
      </rPr>
      <t xml:space="preserve">HV</t>
    </r>
  </si>
  <si>
    <t xml:space="preserve">スバル</t>
  </si>
  <si>
    <t xml:space="preserve">Subaru</t>
  </si>
  <si>
    <t xml:space="preserve">Forester</t>
  </si>
  <si>
    <r>
      <rPr>
        <sz val="10"/>
        <color rgb="FF000000"/>
        <rFont val="Noto Sans CJK SC"/>
        <family val="2"/>
      </rPr>
      <t xml:space="preserve">ガソリン／</t>
    </r>
    <r>
      <rPr>
        <sz val="10"/>
        <color rgb="FF000000"/>
        <rFont val="Arial"/>
        <family val="0"/>
        <charset val="1"/>
      </rPr>
      <t xml:space="preserve">HV</t>
    </r>
  </si>
  <si>
    <t xml:space="preserve">世代・発売時期は要確認</t>
  </si>
  <si>
    <t xml:space="preserve">XV</t>
  </si>
  <si>
    <t xml:space="preserve">中国系</t>
  </si>
  <si>
    <t xml:space="preserve">BYD</t>
  </si>
  <si>
    <t xml:space="preserve">Dolphin</t>
  </si>
  <si>
    <t xml:space="preserve">海豚</t>
  </si>
  <si>
    <r>
      <rPr>
        <sz val="10"/>
        <color rgb="FF000000"/>
        <rFont val="Noto Sans CJK SC"/>
        <family val="2"/>
      </rPr>
      <t xml:space="preserve">輸入→タイ生産（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年〜）</t>
    </r>
  </si>
  <si>
    <t xml:space="preserve">輸入→現地生産</t>
  </si>
  <si>
    <t xml:space="preserve">https://cnevpost.com/2023/07/07/byd-launches-dolphin-in-thailand/</t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</si>
  <si>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日発売、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日納車開始</t>
    </r>
  </si>
  <si>
    <t xml:space="preserve">Atto 3</t>
  </si>
  <si>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Yuan Plus</t>
    </r>
    <r>
      <rPr>
        <sz val="10"/>
        <color rgb="FF000000"/>
        <rFont val="Noto Sans CJK SC"/>
        <family val="2"/>
      </rPr>
      <t xml:space="preserve">）</t>
    </r>
  </si>
  <si>
    <t xml:space="preserve">輸入→現地生産／発表と納車にずれ</t>
  </si>
  <si>
    <t xml:space="preserve">https://thestandard.co/?p=700454</t>
  </si>
  <si>
    <r>
      <rPr>
        <sz val="10"/>
        <color rgb="FF000000"/>
        <rFont val="Arial"/>
        <family val="0"/>
        <charset val="1"/>
      </rPr>
      <t xml:space="preserve">BYD</t>
    </r>
    <r>
      <rPr>
        <sz val="10"/>
        <color rgb="FF000000"/>
        <rFont val="Noto Sans CJK SC"/>
        <family val="2"/>
      </rPr>
      <t xml:space="preserve">のタイ初投入車種。予約受付は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月から</t>
    </r>
  </si>
  <si>
    <t xml:space="preserve">Sealion 6 DM-i</t>
  </si>
  <si>
    <r>
      <rPr>
        <sz val="10"/>
        <color rgb="FF000000"/>
        <rFont val="Noto Sans CJK SC"/>
        <family val="2"/>
      </rPr>
      <t xml:space="preserve">宋</t>
    </r>
    <r>
      <rPr>
        <sz val="10"/>
        <color rgb="FF000000"/>
        <rFont val="Arial"/>
        <family val="0"/>
        <charset val="1"/>
      </rPr>
      <t xml:space="preserve">PLUS DM-i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Seal U DM-i</t>
    </r>
  </si>
  <si>
    <t xml:space="preserve">PHEV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</si>
  <si>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 大容量電池仕様を追加</t>
    </r>
  </si>
  <si>
    <r>
      <rPr>
        <sz val="10"/>
        <color rgb="FF000000"/>
        <rFont val="Noto Sans CJK SC"/>
        <family val="2"/>
      </rPr>
      <t xml:space="preserve">発表（</t>
    </r>
    <r>
      <rPr>
        <sz val="10"/>
        <color rgb="FF000000"/>
        <rFont val="Arial"/>
        <family val="0"/>
        <charset val="1"/>
      </rPr>
      <t xml:space="preserve">2024-08</t>
    </r>
    <r>
      <rPr>
        <sz val="10"/>
        <color rgb="FF000000"/>
        <rFont val="Noto Sans CJK SC"/>
        <family val="2"/>
      </rPr>
      <t xml:space="preserve">）と納車（</t>
    </r>
    <r>
      <rPr>
        <sz val="10"/>
        <color rgb="FF000000"/>
        <rFont val="Arial"/>
        <family val="0"/>
        <charset val="1"/>
      </rPr>
      <t xml:space="preserve">2024-10</t>
    </r>
    <r>
      <rPr>
        <sz val="10"/>
        <color rgb="FF000000"/>
        <rFont val="Noto Sans CJK SC"/>
        <family val="2"/>
      </rPr>
      <t xml:space="preserve">）にずれ</t>
    </r>
  </si>
  <si>
    <t xml:space="preserve">https://cnevpost.com/2024/08/11/byd-launches-sealion-6-dm-i-thailand/</t>
  </si>
  <si>
    <r>
      <rPr>
        <sz val="10"/>
        <color rgb="FF000000"/>
        <rFont val="Arial"/>
        <family val="0"/>
        <charset val="1"/>
      </rPr>
      <t xml:space="preserve">BYD</t>
    </r>
    <r>
      <rPr>
        <sz val="10"/>
        <color rgb="FF000000"/>
        <rFont val="Noto Sans CJK SC"/>
        <family val="2"/>
      </rPr>
      <t xml:space="preserve">初のタイ生産</t>
    </r>
    <r>
      <rPr>
        <sz val="10"/>
        <color rgb="FF000000"/>
        <rFont val="Arial"/>
        <family val="0"/>
        <charset val="1"/>
      </rPr>
      <t xml:space="preserve">PHEV</t>
    </r>
  </si>
  <si>
    <t xml:space="preserve">Sealion 7</t>
  </si>
  <si>
    <r>
      <rPr>
        <sz val="10"/>
        <color rgb="FF000000"/>
        <rFont val="Noto Sans CJK SC"/>
        <family val="2"/>
      </rPr>
      <t xml:space="preserve">海獅</t>
    </r>
    <r>
      <rPr>
        <sz val="10"/>
        <color rgb="FF000000"/>
        <rFont val="Arial"/>
        <family val="0"/>
        <charset val="1"/>
      </rPr>
      <t xml:space="preserve">07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</si>
  <si>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AWD</t>
    </r>
    <r>
      <rPr>
        <sz val="10"/>
        <color rgb="FF000000"/>
        <rFont val="Noto Sans CJK SC"/>
        <family val="2"/>
      </rPr>
      <t xml:space="preserve">上級仕様を追加</t>
    </r>
  </si>
  <si>
    <t xml:space="preserve">https://bestsellingcarsblog.com/2025/04/thailand-february-2025-toyota-hilux-revo-back-to-1/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</si>
  <si>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月に販売開始（発表は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年末の可能性）</t>
    </r>
  </si>
  <si>
    <t xml:space="preserve">Seal 5 DM-i</t>
  </si>
  <si>
    <r>
      <rPr>
        <sz val="10"/>
        <color rgb="FF000000"/>
        <rFont val="Noto Sans CJK SC"/>
        <family val="2"/>
      </rPr>
      <t xml:space="preserve">駆逐艦</t>
    </r>
    <r>
      <rPr>
        <sz val="10"/>
        <color rgb="FF000000"/>
        <rFont val="Arial"/>
        <family val="0"/>
        <charset val="1"/>
      </rPr>
      <t xml:space="preserve">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Destroyer 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</si>
  <si>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 廉価仕様を追加</t>
    </r>
  </si>
  <si>
    <t xml:space="preserve">https://www.metal.com/en/newscontent/103475884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</si>
  <si>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日発売。タイ工場の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車種目</t>
    </r>
  </si>
  <si>
    <t xml:space="preserve">Atto 2</t>
  </si>
  <si>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UP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Yuan Up</t>
    </r>
    <r>
      <rPr>
        <sz val="10"/>
        <color rgb="FF000000"/>
        <rFont val="Noto Sans CJK SC"/>
        <family val="2"/>
      </rPr>
      <t xml:space="preserve">）</t>
    </r>
  </si>
  <si>
    <t xml:space="preserve">https://www.marklines.com/ja/news/342393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</si>
  <si>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月のモーターショーで参考出品、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月発売</t>
    </r>
  </si>
  <si>
    <t xml:space="preserve">M6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</si>
  <si>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後継）</t>
    </r>
  </si>
  <si>
    <t xml:space="preserve">https://cnevpost.com/2024/09/11/byd-launches-m6-mpv-thailand/</t>
  </si>
  <si>
    <t xml:space="preserve">Seal</t>
  </si>
  <si>
    <t xml:space="preserve">海豹</t>
  </si>
  <si>
    <t xml:space="preserve">https://www.marklines.com/en/news/295468</t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</si>
  <si>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日発売</t>
    </r>
  </si>
  <si>
    <t xml:space="preserve">Atto 1</t>
  </si>
  <si>
    <r>
      <rPr>
        <sz val="10"/>
        <color rgb="FF000000"/>
        <rFont val="Noto Sans CJK SC"/>
        <family val="2"/>
      </rPr>
      <t xml:space="preserve">海鴎（</t>
    </r>
    <r>
      <rPr>
        <sz val="10"/>
        <color rgb="FF000000"/>
        <rFont val="Arial"/>
        <family val="0"/>
        <charset val="1"/>
      </rPr>
      <t xml:space="preserve">Seagull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Dolphin Surf</t>
    </r>
  </si>
  <si>
    <t xml:space="preserve">https://en.thairath.co.th/news/auto/2922024</t>
  </si>
  <si>
    <t xml:space="preserve">Sealion 5 DM-i</t>
  </si>
  <si>
    <r>
      <rPr>
        <sz val="10"/>
        <color rgb="FF000000"/>
        <rFont val="Noto Sans CJK SC"/>
        <family val="2"/>
      </rPr>
      <t xml:space="preserve">海獅</t>
    </r>
    <r>
      <rPr>
        <sz val="10"/>
        <color rgb="FF000000"/>
        <rFont val="Arial"/>
        <family val="0"/>
        <charset val="1"/>
      </rPr>
      <t xml:space="preserve">05 DM-i</t>
    </r>
  </si>
  <si>
    <t xml:space="preserve">タイ組立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</si>
  <si>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 廉価仕様を追加</t>
    </r>
  </si>
  <si>
    <t xml:space="preserve">Seal 6</t>
  </si>
  <si>
    <r>
      <rPr>
        <sz val="10"/>
        <color rgb="FF000000"/>
        <rFont val="Noto Sans CJK SC"/>
        <family val="2"/>
      </rPr>
      <t xml:space="preserve">秦</t>
    </r>
    <r>
      <rPr>
        <sz val="10"/>
        <color rgb="FF000000"/>
        <rFont val="Arial"/>
        <family val="0"/>
        <charset val="1"/>
      </rPr>
      <t xml:space="preserve">L</t>
    </r>
  </si>
  <si>
    <r>
      <rPr>
        <sz val="10"/>
        <color rgb="FF000000"/>
        <rFont val="Arial"/>
        <family val="0"/>
        <charset val="1"/>
      </rPr>
      <t xml:space="preserve">PHEV</t>
    </r>
    <r>
      <rPr>
        <sz val="10"/>
        <color rgb="FF000000"/>
        <rFont val="Noto Sans CJK SC"/>
        <family val="2"/>
      </rPr>
      <t xml:space="preserve">（要確認）</t>
    </r>
  </si>
  <si>
    <t xml:space="preserve">T3</t>
  </si>
  <si>
    <t xml:space="preserve">バン（商用）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</si>
  <si>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年の販売実績なし</t>
    </r>
  </si>
  <si>
    <t xml:space="preserve">Denza</t>
  </si>
  <si>
    <t xml:space="preserve">D9</t>
  </si>
  <si>
    <r>
      <rPr>
        <sz val="10"/>
        <color rgb="FF000000"/>
        <rFont val="Noto Sans CJK SC"/>
        <family val="2"/>
      </rPr>
      <t xml:space="preserve">騰勢</t>
    </r>
    <r>
      <rPr>
        <sz val="10"/>
        <color rgb="FF000000"/>
        <rFont val="Arial"/>
        <family val="0"/>
        <charset val="1"/>
      </rPr>
      <t xml:space="preserve">D9</t>
    </r>
  </si>
  <si>
    <r>
      <rPr>
        <sz val="10"/>
        <color rgb="FF000000"/>
        <rFont val="Noto Sans CJK SC"/>
        <family val="2"/>
      </rPr>
      <t xml:space="preserve">発表（</t>
    </r>
    <r>
      <rPr>
        <sz val="10"/>
        <color rgb="FF000000"/>
        <rFont val="Arial"/>
        <family val="0"/>
        <charset val="1"/>
      </rPr>
      <t xml:space="preserve">2024-10</t>
    </r>
    <r>
      <rPr>
        <sz val="10"/>
        <color rgb="FF000000"/>
        <rFont val="Noto Sans CJK SC"/>
        <family val="2"/>
      </rPr>
      <t xml:space="preserve">）と納車（</t>
    </r>
    <r>
      <rPr>
        <sz val="10"/>
        <color rgb="FF000000"/>
        <rFont val="Arial"/>
        <family val="0"/>
        <charset val="1"/>
      </rPr>
      <t xml:space="preserve">2024-12</t>
    </r>
    <r>
      <rPr>
        <sz val="10"/>
        <color rgb="FF000000"/>
        <rFont val="Noto Sans CJK SC"/>
        <family val="2"/>
      </rPr>
      <t xml:space="preserve">）にずれ</t>
    </r>
  </si>
  <si>
    <t xml:space="preserve">https://carnewschina.com/2024/11/03/byds-denza-officially-entered-thailand-will-launch-denza-d9-premium-mpv/</t>
  </si>
  <si>
    <r>
      <rPr>
        <sz val="10"/>
        <color rgb="FF000000"/>
        <rFont val="Arial"/>
        <family val="0"/>
        <charset val="1"/>
      </rPr>
      <t xml:space="preserve">Denza</t>
    </r>
    <r>
      <rPr>
        <sz val="10"/>
        <color rgb="FF000000"/>
        <rFont val="Noto Sans CJK SC"/>
        <family val="2"/>
      </rPr>
      <t xml:space="preserve">のタイ参入と同時に発売</t>
    </r>
  </si>
  <si>
    <r>
      <rPr>
        <sz val="10"/>
        <color rgb="FF000000"/>
        <rFont val="Noto Sans CJK SC"/>
        <family val="2"/>
      </rPr>
      <t xml:space="preserve">奇瑞（</t>
    </r>
    <r>
      <rPr>
        <sz val="10"/>
        <color rgb="FF000000"/>
        <rFont val="Arial"/>
        <family val="0"/>
        <charset val="1"/>
      </rPr>
      <t xml:space="preserve">Chery</t>
    </r>
    <r>
      <rPr>
        <sz val="10"/>
        <color rgb="FF000000"/>
        <rFont val="Noto Sans CJK SC"/>
        <family val="2"/>
      </rPr>
      <t xml:space="preserve">）</t>
    </r>
  </si>
  <si>
    <t xml:space="preserve">Jaecoo</t>
  </si>
  <si>
    <t xml:space="preserve">Jaecoo 5 EV</t>
  </si>
  <si>
    <r>
      <rPr>
        <sz val="10"/>
        <color rgb="FF000000"/>
        <rFont val="Arial"/>
        <family val="0"/>
        <charset val="1"/>
      </rPr>
      <t xml:space="preserve">Jaecoo J5 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（英国）</t>
    </r>
  </si>
  <si>
    <t xml:space="preserve">輸入→タイ組立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</si>
  <si>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 長距離仕様（</t>
    </r>
    <r>
      <rPr>
        <sz val="10"/>
        <color rgb="FF000000"/>
        <rFont val="Arial"/>
        <family val="0"/>
        <charset val="1"/>
      </rPr>
      <t xml:space="preserve">Ultra</t>
    </r>
    <r>
      <rPr>
        <sz val="10"/>
        <color rgb="FF000000"/>
        <rFont val="Noto Sans CJK SC"/>
        <family val="2"/>
      </rPr>
      <t xml:space="preserve">）を追加</t>
    </r>
  </si>
  <si>
    <t xml:space="preserve">輸入→現地組立</t>
  </si>
  <si>
    <t xml:space="preserve">https://www.wapcar.my/news/cheaper-than-city-hatchback-ehev-jaecoo-j5-bev-launched-in-thailand-400-km-range-211-ps-288-nm-745796</t>
  </si>
  <si>
    <t xml:space="preserve">当初は中国からの輸入</t>
  </si>
  <si>
    <t xml:space="preserve">Jaecoo 6 EV</t>
  </si>
  <si>
    <t xml:space="preserve">Jaecoo J6</t>
  </si>
  <si>
    <r>
      <rPr>
        <sz val="10"/>
        <color rgb="FF000000"/>
        <rFont val="Noto Sans CJK SC"/>
        <family val="2"/>
      </rPr>
      <t xml:space="preserve">輸入→タイ生産（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年〜）</t>
    </r>
  </si>
  <si>
    <r>
      <rPr>
        <sz val="10"/>
        <color rgb="FF000000"/>
        <rFont val="Noto Sans CJK SC"/>
        <family val="2"/>
      </rPr>
      <t xml:space="preserve">公開・予約開始（</t>
    </r>
    <r>
      <rPr>
        <sz val="10"/>
        <color rgb="FF000000"/>
        <rFont val="Arial"/>
        <family val="0"/>
        <charset val="1"/>
      </rPr>
      <t xml:space="preserve">2024-08</t>
    </r>
    <r>
      <rPr>
        <sz val="10"/>
        <color rgb="FF000000"/>
        <rFont val="Noto Sans CJK SC"/>
        <family val="2"/>
      </rPr>
      <t xml:space="preserve">）と発売にずれ</t>
    </r>
  </si>
  <si>
    <t xml:space="preserve">https://proliance.co.th/?p=1958</t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</si>
  <si>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日に公開・予約開始。価格発表の時期は要確認</t>
    </r>
  </si>
  <si>
    <t xml:space="preserve">Jaecoo 7 SHS</t>
  </si>
  <si>
    <t xml:space="preserve">Jaecoo J7 PHEV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</si>
  <si>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年後半の投入とみられる</t>
    </r>
  </si>
  <si>
    <t xml:space="preserve">Jaecoo 6T</t>
  </si>
  <si>
    <r>
      <rPr>
        <sz val="10"/>
        <color rgb="FF000000"/>
        <rFont val="Arial"/>
        <family val="0"/>
        <charset val="1"/>
      </rPr>
      <t xml:space="preserve">iCaur 03</t>
    </r>
    <r>
      <rPr>
        <sz val="10"/>
        <color rgb="FF000000"/>
        <rFont val="Noto Sans CJK SC"/>
        <family val="2"/>
      </rPr>
      <t xml:space="preserve">系</t>
    </r>
  </si>
  <si>
    <r>
      <rPr>
        <sz val="10"/>
        <color rgb="FF000000"/>
        <rFont val="Arial"/>
        <family val="0"/>
        <charset val="1"/>
      </rPr>
      <t xml:space="preserve">BEV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REEV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</si>
  <si>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REEV</t>
    </r>
    <r>
      <rPr>
        <sz val="10"/>
        <color rgb="FF000000"/>
        <rFont val="Noto Sans CJK SC"/>
        <family val="2"/>
      </rPr>
      <t xml:space="preserve">仕様の価格発表</t>
    </r>
  </si>
  <si>
    <t xml:space="preserve">https://www.carlist.my/news/jaecoo-6t-reev-priced-from-equivalent-of-rm-107k-in-thailand-undercuts-bev-sibling-by-up-to-20-150231/150231/</t>
  </si>
  <si>
    <r>
      <rPr>
        <sz val="10"/>
        <color rgb="FF000000"/>
        <rFont val="Arial"/>
        <family val="0"/>
        <charset val="1"/>
      </rPr>
      <t xml:space="preserve">EV</t>
    </r>
    <r>
      <rPr>
        <sz val="10"/>
        <color rgb="FF000000"/>
        <rFont val="Noto Sans CJK SC"/>
        <family val="2"/>
      </rPr>
      <t xml:space="preserve">仕様が先行。発売月は要確認</t>
    </r>
  </si>
  <si>
    <t xml:space="preserve">Omoda</t>
  </si>
  <si>
    <t xml:space="preserve">Omoda C5 EV</t>
  </si>
  <si>
    <t xml:space="preserve">Omoda E5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</si>
  <si>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 大幅値下げ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</si>
  <si>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日発売</t>
    </r>
  </si>
  <si>
    <t xml:space="preserve">Chery</t>
  </si>
  <si>
    <t xml:space="preserve">V23</t>
  </si>
  <si>
    <t xml:space="preserve">iCar V23</t>
  </si>
  <si>
    <r>
      <rPr>
        <sz val="10"/>
        <color rgb="FF000000"/>
        <rFont val="Noto Sans CJK SC"/>
        <family val="2"/>
      </rPr>
      <t xml:space="preserve">輸入→タイ組立（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月〜）</t>
    </r>
  </si>
  <si>
    <t xml:space="preserve">https://www.chery-thailand.com/en/news/Happiness-On-The-Move-Blog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</si>
  <si>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日発売</t>
    </r>
  </si>
  <si>
    <t xml:space="preserve">Tiggo 8 CSH</t>
  </si>
  <si>
    <t xml:space="preserve">Tiggo 8 PHEV</t>
  </si>
  <si>
    <r>
      <rPr>
        <sz val="10"/>
        <color rgb="FF000000"/>
        <rFont val="Noto Sans CJK SC"/>
        <family val="2"/>
      </rPr>
      <t xml:space="preserve">公開（</t>
    </r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）と価格発表にずれ</t>
    </r>
  </si>
  <si>
    <t xml:space="preserve">https://www.chery-thailand.com/en/news/chery-makes-a-grand-debut-in-thailand-with-chery-thailand-grand-premiere-launch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</si>
  <si>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日に公開。価格発表の時期は要確認</t>
    </r>
  </si>
  <si>
    <t xml:space="preserve">Lepas</t>
  </si>
  <si>
    <t xml:space="preserve">L6 EV</t>
  </si>
  <si>
    <r>
      <rPr>
        <sz val="10"/>
        <color rgb="FF000000"/>
        <rFont val="Noto Sans CJK SC"/>
        <family val="2"/>
      </rPr>
      <t xml:space="preserve">ランキング圏外（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月末発売）</t>
    </r>
  </si>
  <si>
    <t xml:space="preserve">https://www.marklines.com/en/news/348181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</si>
  <si>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日発売。タイ組立へ移行予定</t>
    </r>
  </si>
  <si>
    <r>
      <rPr>
        <sz val="10"/>
        <color rgb="FF000000"/>
        <rFont val="Noto Sans CJK SC"/>
        <family val="2"/>
      </rPr>
      <t xml:space="preserve">上汽（</t>
    </r>
    <r>
      <rPr>
        <sz val="10"/>
        <color rgb="FF000000"/>
        <rFont val="Arial"/>
        <family val="0"/>
        <charset val="1"/>
      </rPr>
      <t xml:space="preserve">SAIC</t>
    </r>
    <r>
      <rPr>
        <sz val="10"/>
        <color rgb="FF000000"/>
        <rFont val="Noto Sans CJK SC"/>
        <family val="2"/>
      </rPr>
      <t xml:space="preserve">）</t>
    </r>
  </si>
  <si>
    <t xml:space="preserve">MG</t>
  </si>
  <si>
    <t xml:space="preserve">MG S5 EV</t>
  </si>
  <si>
    <r>
      <rPr>
        <sz val="10"/>
        <color rgb="FF000000"/>
        <rFont val="Arial"/>
        <family val="0"/>
        <charset val="1"/>
      </rPr>
      <t xml:space="preserve">MG ES5</t>
    </r>
    <r>
      <rPr>
        <sz val="10"/>
        <color rgb="FF000000"/>
        <rFont val="Noto Sans CJK SC"/>
        <family val="2"/>
      </rPr>
      <t xml:space="preserve">（中国）</t>
    </r>
  </si>
  <si>
    <r>
      <rPr>
        <sz val="10"/>
        <color rgb="FF000000"/>
        <rFont val="Noto Sans CJK SC"/>
        <family val="2"/>
      </rPr>
      <t xml:space="preserve">タイ生産（</t>
    </r>
    <r>
      <rPr>
        <sz val="10"/>
        <color rgb="FF000000"/>
        <rFont val="Arial"/>
        <family val="0"/>
        <charset val="1"/>
      </rPr>
      <t xml:space="preserve">CKD</t>
    </r>
    <r>
      <rPr>
        <sz val="10"/>
        <color rgb="FF000000"/>
        <rFont val="Noto Sans CJK SC"/>
        <family val="2"/>
      </rPr>
      <t xml:space="preserve">）</t>
    </r>
  </si>
  <si>
    <t xml:space="preserve">https://autobuzz.my/2025/03/28/new-mg-s5-ev-debuts-at-2025-bangkok-motor-show-zs-ev-replacement/</t>
  </si>
  <si>
    <r>
      <rPr>
        <sz val="10"/>
        <color rgb="FF000000"/>
        <rFont val="Arial"/>
        <family val="0"/>
        <charset val="1"/>
      </rPr>
      <t xml:space="preserve">ZS EV</t>
    </r>
    <r>
      <rPr>
        <sz val="10"/>
        <color rgb="FF000000"/>
        <rFont val="Noto Sans CJK SC"/>
        <family val="2"/>
      </rPr>
      <t xml:space="preserve">の後継</t>
    </r>
  </si>
  <si>
    <t xml:space="preserve">MG4</t>
  </si>
  <si>
    <r>
      <rPr>
        <sz val="10"/>
        <color rgb="FF000000"/>
        <rFont val="Arial"/>
        <family val="0"/>
        <charset val="1"/>
      </rPr>
      <t xml:space="preserve">MG Mulan</t>
    </r>
    <r>
      <rPr>
        <sz val="10"/>
        <color rgb="FF000000"/>
        <rFont val="Noto Sans CJK SC"/>
        <family val="2"/>
      </rPr>
      <t xml:space="preserve">（中国）</t>
    </r>
  </si>
  <si>
    <r>
      <rPr>
        <sz val="10"/>
        <color rgb="FF000000"/>
        <rFont val="Noto Sans CJK SC"/>
        <family val="2"/>
      </rPr>
      <t xml:space="preserve">輸入→タイ生産（</t>
    </r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月〜）</t>
    </r>
  </si>
  <si>
    <r>
      <rPr>
        <sz val="10"/>
        <color rgb="FF000000"/>
        <rFont val="Noto Sans CJK SC"/>
        <family val="2"/>
      </rPr>
      <t xml:space="preserve">後継（</t>
    </r>
    <r>
      <rPr>
        <sz val="10"/>
        <color rgb="FF000000"/>
        <rFont val="Arial"/>
        <family val="0"/>
        <charset val="1"/>
      </rPr>
      <t xml:space="preserve">MG Urban</t>
    </r>
    <r>
      <rPr>
        <sz val="10"/>
        <color rgb="FF000000"/>
        <rFont val="Noto Sans CJK SC"/>
        <family val="2"/>
      </rPr>
      <t xml:space="preserve">）と併売／輸入→現地生産</t>
    </r>
  </si>
  <si>
    <t xml:space="preserve">https://www.marklines.com/en/news/279743</t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</si>
  <si>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日発売、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月から納車</t>
    </r>
  </si>
  <si>
    <t xml:space="preserve">MG Urban</t>
  </si>
  <si>
    <r>
      <rPr>
        <sz val="10"/>
        <color rgb="FF000000"/>
        <rFont val="Arial"/>
        <family val="0"/>
        <charset val="1"/>
      </rPr>
      <t xml:space="preserve">MG4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年型、中国）／</t>
    </r>
    <r>
      <rPr>
        <sz val="10"/>
        <color rgb="FF000000"/>
        <rFont val="Arial"/>
        <family val="0"/>
        <charset val="1"/>
      </rPr>
      <t xml:space="preserve">MG4 Urban</t>
    </r>
    <r>
      <rPr>
        <sz val="10"/>
        <color rgb="FF000000"/>
        <rFont val="Noto Sans CJK SC"/>
        <family val="2"/>
      </rPr>
      <t xml:space="preserve">（欧州）</t>
    </r>
  </si>
  <si>
    <r>
      <rPr>
        <sz val="10"/>
        <color rgb="FF000000"/>
        <rFont val="Noto Sans CJK SC"/>
        <family val="2"/>
      </rPr>
      <t xml:space="preserve">車名変更型の世代交代（</t>
    </r>
    <r>
      <rPr>
        <sz val="10"/>
        <color rgb="FF000000"/>
        <rFont val="Arial"/>
        <family val="0"/>
        <charset val="1"/>
      </rPr>
      <t xml:space="preserve">MG4</t>
    </r>
    <r>
      <rPr>
        <sz val="10"/>
        <color rgb="FF000000"/>
        <rFont val="Noto Sans CJK SC"/>
        <family val="2"/>
      </rPr>
      <t xml:space="preserve">の第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世代）</t>
    </r>
  </si>
  <si>
    <t xml:space="preserve">https://www.marklines.com/ja/news/346330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</si>
  <si>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日発売</t>
    </r>
  </si>
  <si>
    <t xml:space="preserve">MG3</t>
  </si>
  <si>
    <r>
      <rPr>
        <sz val="10"/>
        <color rgb="FF000000"/>
        <rFont val="Arial"/>
        <family val="0"/>
        <charset val="1"/>
      </rPr>
      <t xml:space="preserve">HEV</t>
    </r>
    <r>
      <rPr>
        <sz val="10"/>
        <color rgb="FF000000"/>
        <rFont val="Noto Sans CJK SC"/>
        <family val="2"/>
      </rPr>
      <t xml:space="preserve">ありの現行世代。発売時期は要確認</t>
    </r>
  </si>
  <si>
    <t xml:space="preserve">MG5</t>
  </si>
  <si>
    <t xml:space="preserve">MG Maxus 7</t>
  </si>
  <si>
    <t xml:space="preserve">Maxus MIFA 7</t>
  </si>
  <si>
    <t xml:space="preserve">MG ZS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</si>
  <si>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世代投入の有無を要確認</t>
    </r>
  </si>
  <si>
    <t xml:space="preserve">MG Maxus 9</t>
  </si>
  <si>
    <t xml:space="preserve">Maxus MIFA 9</t>
  </si>
  <si>
    <t xml:space="preserve">MG EP</t>
  </si>
  <si>
    <t xml:space="preserve">ワゴン</t>
  </si>
  <si>
    <t xml:space="preserve">MG HS PHEV</t>
  </si>
  <si>
    <t xml:space="preserve">世代交代の可能性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</si>
  <si>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年に新規表記。第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世代投入の可能性</t>
    </r>
  </si>
  <si>
    <t xml:space="preserve">MG VS HEV</t>
  </si>
  <si>
    <t xml:space="preserve">MG Extender</t>
  </si>
  <si>
    <t xml:space="preserve">MG Cyberster</t>
  </si>
  <si>
    <t xml:space="preserve">オープンカー</t>
  </si>
  <si>
    <r>
      <rPr>
        <sz val="10"/>
        <color rgb="FF000000"/>
        <rFont val="Arial"/>
        <family val="0"/>
        <charset val="1"/>
      </rPr>
      <t xml:space="preserve">IM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</t>
    </r>
    <r>
      <rPr>
        <sz val="10"/>
        <color rgb="FF000000"/>
        <rFont val="Noto Sans CJK SC"/>
        <family val="2"/>
      </rPr>
      <t xml:space="preserve">が販売）</t>
    </r>
  </si>
  <si>
    <t xml:space="preserve">IM6</t>
  </si>
  <si>
    <r>
      <rPr>
        <sz val="10"/>
        <color rgb="FF000000"/>
        <rFont val="Arial"/>
        <family val="0"/>
        <charset val="1"/>
      </rPr>
      <t xml:space="preserve">IM LS6</t>
    </r>
    <r>
      <rPr>
        <sz val="10"/>
        <color rgb="FF000000"/>
        <rFont val="Noto Sans CJK SC"/>
        <family val="2"/>
      </rPr>
      <t xml:space="preserve">（智己）</t>
    </r>
  </si>
  <si>
    <t xml:space="preserve">https://www.marklines.com/en/news/323625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</si>
  <si>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月から納車</t>
    </r>
  </si>
  <si>
    <t xml:space="preserve">IM5</t>
  </si>
  <si>
    <r>
      <rPr>
        <sz val="10"/>
        <color rgb="FF000000"/>
        <rFont val="Arial"/>
        <family val="0"/>
        <charset val="1"/>
      </rPr>
      <t xml:space="preserve">IM L6</t>
    </r>
    <r>
      <rPr>
        <sz val="10"/>
        <color rgb="FF000000"/>
        <rFont val="Noto Sans CJK SC"/>
        <family val="2"/>
      </rPr>
      <t xml:space="preserve">（智己）</t>
    </r>
  </si>
  <si>
    <t xml:space="preserve">https://en.thairath.co.th/news/auto/2922268</t>
  </si>
  <si>
    <r>
      <rPr>
        <sz val="10"/>
        <color rgb="FF000000"/>
        <rFont val="Noto Sans CJK SC"/>
        <family val="2"/>
      </rPr>
      <t xml:space="preserve">吉利（</t>
    </r>
    <r>
      <rPr>
        <sz val="10"/>
        <color rgb="FF000000"/>
        <rFont val="Arial"/>
        <family val="0"/>
        <charset val="1"/>
      </rPr>
      <t xml:space="preserve">Geely</t>
    </r>
    <r>
      <rPr>
        <sz val="10"/>
        <color rgb="FF000000"/>
        <rFont val="Noto Sans CJK SC"/>
        <family val="2"/>
      </rPr>
      <t xml:space="preserve">）</t>
    </r>
  </si>
  <si>
    <t xml:space="preserve">Geely</t>
  </si>
  <si>
    <t xml:space="preserve">EX2</t>
  </si>
  <si>
    <r>
      <rPr>
        <sz val="10"/>
        <color rgb="FF000000"/>
        <rFont val="Noto Sans CJK SC"/>
        <family val="2"/>
      </rPr>
      <t xml:space="preserve">星願（</t>
    </r>
    <r>
      <rPr>
        <sz val="10"/>
        <color rgb="FF000000"/>
        <rFont val="Arial"/>
        <family val="0"/>
        <charset val="1"/>
      </rPr>
      <t xml:space="preserve">Xingyuan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</si>
  <si>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発表（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）と納車（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〜）にずれ</t>
    </r>
  </si>
  <si>
    <t xml:space="preserve">https://www.motorexpo.co.th/en/news/5236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</si>
  <si>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月末のモーターエキスポで発売</t>
    </r>
  </si>
  <si>
    <t xml:space="preserve">EX5</t>
  </si>
  <si>
    <r>
      <rPr>
        <sz val="10"/>
        <color rgb="FF000000"/>
        <rFont val="Noto Sans CJK SC"/>
        <family val="2"/>
      </rPr>
      <t xml:space="preserve">銀河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Galaxy E5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</si>
  <si>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Max+</t>
    </r>
    <r>
      <rPr>
        <sz val="10"/>
        <color rgb="FF000000"/>
        <rFont val="Noto Sans CJK SC"/>
        <family val="2"/>
      </rPr>
      <t xml:space="preserve">追加</t>
    </r>
  </si>
  <si>
    <t xml:space="preserve">https://wapcar.my/news/geely-breaking-its-promise-to-make-malaysia-its-rhd-hub-launches-chinamade-geely-ex5-in-thailand-83033</t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</si>
  <si>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年のモーターエキスポで発売</t>
    </r>
  </si>
  <si>
    <t xml:space="preserve">Zeekr</t>
  </si>
  <si>
    <t xml:space="preserve">7X</t>
  </si>
  <si>
    <t xml:space="preserve">https://cnevpost.com/2025/08/19/zeekr-launches-7x-thailand/</t>
  </si>
  <si>
    <t xml:space="preserve">009</t>
  </si>
  <si>
    <r>
      <rPr>
        <sz val="10"/>
        <color rgb="FF000000"/>
        <rFont val="Arial"/>
        <family val="0"/>
        <charset val="1"/>
      </rPr>
      <t xml:space="preserve">Zeekr</t>
    </r>
    <r>
      <rPr>
        <sz val="10"/>
        <color rgb="FF000000"/>
        <rFont val="Noto Sans CJK SC"/>
        <family val="2"/>
      </rPr>
      <t xml:space="preserve">のタイ初投入車種</t>
    </r>
  </si>
  <si>
    <t xml:space="preserve">X</t>
  </si>
  <si>
    <r>
      <rPr>
        <sz val="10"/>
        <color rgb="FF000000"/>
        <rFont val="Noto Sans CJK SC"/>
        <family val="2"/>
      </rPr>
      <t xml:space="preserve">発表（</t>
    </r>
    <r>
      <rPr>
        <sz val="10"/>
        <color rgb="FF000000"/>
        <rFont val="Arial"/>
        <family val="0"/>
        <charset val="1"/>
      </rPr>
      <t xml:space="preserve">2024-07</t>
    </r>
    <r>
      <rPr>
        <sz val="10"/>
        <color rgb="FF000000"/>
        <rFont val="Noto Sans CJK SC"/>
        <family val="2"/>
      </rPr>
      <t xml:space="preserve">）と納車（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月）にずれ</t>
    </r>
  </si>
  <si>
    <t xml:space="preserve">Riddara</t>
  </si>
  <si>
    <t xml:space="preserve">RD6</t>
  </si>
  <si>
    <r>
      <rPr>
        <sz val="10"/>
        <color rgb="FF000000"/>
        <rFont val="Noto Sans CJK SC"/>
        <family val="2"/>
      </rPr>
      <t xml:space="preserve">雷達</t>
    </r>
    <r>
      <rPr>
        <sz val="10"/>
        <color rgb="FF000000"/>
        <rFont val="Arial"/>
        <family val="0"/>
        <charset val="1"/>
      </rPr>
      <t xml:space="preserve">RD6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Radar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</si>
  <si>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年型に改良</t>
    </r>
  </si>
  <si>
    <t xml:space="preserve">https://autobuzz.my/2024/11/01/land-of-smiles-gets-its-first-electric-pickup-truck-with-the-launch-of-the-riddara-rd6-in-thailand/</t>
  </si>
  <si>
    <r>
      <rPr>
        <sz val="10"/>
        <color rgb="FF000000"/>
        <rFont val="Noto Sans CJK SC"/>
        <family val="2"/>
      </rPr>
      <t xml:space="preserve">タイ初の</t>
    </r>
    <r>
      <rPr>
        <sz val="10"/>
        <color rgb="FF000000"/>
        <rFont val="Arial"/>
        <family val="0"/>
        <charset val="1"/>
      </rPr>
      <t xml:space="preserve">BEV</t>
    </r>
    <r>
      <rPr>
        <sz val="10"/>
        <color rgb="FF000000"/>
        <rFont val="Noto Sans CJK SC"/>
        <family val="2"/>
      </rPr>
      <t xml:space="preserve">ピックアップ</t>
    </r>
  </si>
  <si>
    <t xml:space="preserve">Horizon</t>
  </si>
  <si>
    <r>
      <rPr>
        <sz val="10"/>
        <color rgb="FF000000"/>
        <rFont val="Arial"/>
        <family val="0"/>
        <charset val="1"/>
      </rPr>
      <t xml:space="preserve">RD6</t>
    </r>
    <r>
      <rPr>
        <sz val="10"/>
        <color rgb="FF000000"/>
        <rFont val="Noto Sans CJK SC"/>
        <family val="2"/>
      </rPr>
      <t xml:space="preserve">の</t>
    </r>
    <r>
      <rPr>
        <sz val="10"/>
        <color rgb="FF000000"/>
        <rFont val="Arial"/>
        <family val="0"/>
        <charset val="1"/>
      </rPr>
      <t xml:space="preserve">4WD</t>
    </r>
    <r>
      <rPr>
        <sz val="10"/>
        <color rgb="FF000000"/>
        <rFont val="Noto Sans CJK SC"/>
        <family val="2"/>
      </rPr>
      <t xml:space="preserve">系統とみられる。要確認</t>
    </r>
  </si>
  <si>
    <t xml:space="preserve">ECON L</t>
  </si>
  <si>
    <r>
      <rPr>
        <sz val="10"/>
        <color rgb="FF000000"/>
        <rFont val="Noto Sans CJK SC"/>
        <family val="2"/>
      </rPr>
      <t xml:space="preserve">ランキング圏外（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月発売）</t>
    </r>
  </si>
  <si>
    <t xml:space="preserve">https://en.thairath.co.th/news/auto/2954417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</si>
  <si>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月の</t>
    </r>
    <r>
      <rPr>
        <sz val="10"/>
        <color rgb="FF000000"/>
        <rFont val="Arial"/>
        <family val="0"/>
        <charset val="1"/>
      </rPr>
      <t xml:space="preserve">BIG Motor Sale</t>
    </r>
    <r>
      <rPr>
        <sz val="10"/>
        <color rgb="FF000000"/>
        <rFont val="Noto Sans CJK SC"/>
        <family val="2"/>
      </rPr>
      <t xml:space="preserve">で発売</t>
    </r>
  </si>
  <si>
    <r>
      <rPr>
        <sz val="10"/>
        <color rgb="FF000000"/>
        <rFont val="Noto Sans CJK SC"/>
        <family val="2"/>
      </rPr>
      <t xml:space="preserve">長城（</t>
    </r>
    <r>
      <rPr>
        <sz val="10"/>
        <color rgb="FF000000"/>
        <rFont val="Arial"/>
        <family val="0"/>
        <charset val="1"/>
      </rPr>
      <t xml:space="preserve">GWM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</si>
  <si>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Ora</t>
    </r>
    <r>
      <rPr>
        <sz val="10"/>
        <color rgb="FF000000"/>
        <rFont val="Noto Sans CJK SC"/>
        <family val="2"/>
      </rPr>
      <t xml:space="preserve">）</t>
    </r>
  </si>
  <si>
    <t xml:space="preserve">Ora 5</t>
  </si>
  <si>
    <r>
      <rPr>
        <sz val="10"/>
        <color rgb="FF000000"/>
        <rFont val="Noto Sans CJK SC"/>
        <family val="2"/>
      </rPr>
      <t xml:space="preserve">欧拉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</si>
  <si>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BEV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HEV</t>
    </r>
  </si>
  <si>
    <t xml:space="preserve">タイ生産（一部輸入）</t>
  </si>
  <si>
    <r>
      <rPr>
        <sz val="10"/>
        <color rgb="FF000000"/>
        <rFont val="Noto Sans CJK SC"/>
        <family val="2"/>
      </rPr>
      <t xml:space="preserve">発表（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）と生産・納車（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）にずれ</t>
    </r>
  </si>
  <si>
    <t xml:space="preserve">https://en.thairath.co.th/news/auto/2931070</t>
  </si>
  <si>
    <r>
      <rPr>
        <sz val="10"/>
        <color rgb="FF000000"/>
        <rFont val="Arial"/>
        <family val="0"/>
        <charset val="1"/>
      </rPr>
      <t xml:space="preserve">Good Cat</t>
    </r>
    <r>
      <rPr>
        <sz val="10"/>
        <color rgb="FF000000"/>
        <rFont val="Noto Sans CJK SC"/>
        <family val="2"/>
      </rPr>
      <t xml:space="preserve">の生産ラインを置き換え</t>
    </r>
  </si>
  <si>
    <r>
      <rPr>
        <sz val="10"/>
        <color rgb="FF000000"/>
        <rFont val="Arial"/>
        <family val="0"/>
        <charset val="1"/>
      </rPr>
      <t xml:space="preserve">GWM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Tank</t>
    </r>
    <r>
      <rPr>
        <sz val="10"/>
        <color rgb="FF000000"/>
        <rFont val="Noto Sans CJK SC"/>
        <family val="2"/>
      </rPr>
      <t xml:space="preserve">）</t>
    </r>
  </si>
  <si>
    <t xml:space="preserve">Tank 300</t>
  </si>
  <si>
    <r>
      <rPr>
        <sz val="10"/>
        <color rgb="FF000000"/>
        <rFont val="Noto Sans CJK SC"/>
        <family val="2"/>
      </rPr>
      <t xml:space="preserve">坦克</t>
    </r>
    <r>
      <rPr>
        <sz val="10"/>
        <color rgb="FF000000"/>
        <rFont val="Arial"/>
        <family val="0"/>
        <charset val="1"/>
      </rPr>
      <t xml:space="preserve">300</t>
    </r>
  </si>
  <si>
    <r>
      <rPr>
        <sz val="10"/>
        <color rgb="FF000000"/>
        <rFont val="Arial"/>
        <family val="0"/>
        <charset val="1"/>
      </rPr>
      <t xml:space="preserve">HEV</t>
    </r>
    <r>
      <rPr>
        <sz val="10"/>
        <color rgb="FF000000"/>
        <rFont val="Noto Sans CJK SC"/>
        <family val="2"/>
      </rPr>
      <t xml:space="preserve">／ディーゼル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</si>
  <si>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年型でディーゼル追加</t>
    </r>
  </si>
  <si>
    <t xml:space="preserve">https://www.marklines.com/en/news/295507</t>
  </si>
  <si>
    <t xml:space="preserve">Ora Good Cat</t>
  </si>
  <si>
    <r>
      <rPr>
        <sz val="10"/>
        <color rgb="FF000000"/>
        <rFont val="Noto Sans CJK SC"/>
        <family val="2"/>
      </rPr>
      <t xml:space="preserve">好猫（</t>
    </r>
    <r>
      <rPr>
        <sz val="10"/>
        <color rgb="FF000000"/>
        <rFont val="Arial"/>
        <family val="0"/>
        <charset val="1"/>
      </rPr>
      <t xml:space="preserve">Ora 03</t>
    </r>
    <r>
      <rPr>
        <sz val="10"/>
        <color rgb="FF000000"/>
        <rFont val="Noto Sans CJK SC"/>
        <family val="2"/>
      </rPr>
      <t xml:space="preserve">）</t>
    </r>
  </si>
  <si>
    <t xml:space="preserve">輸入→タイ生産</t>
  </si>
  <si>
    <t xml:space="preserve">生産終了（在庫販売）／輸入→現地生産</t>
  </si>
  <si>
    <t xml:space="preserve">https://cnevpost.com/2021/10/30/great-wall-motors-ora-good-cat-officially-launched-in-thailand-priced-from-about-29700</t>
  </si>
  <si>
    <r>
      <rPr>
        <sz val="10"/>
        <color rgb="FF000000"/>
        <rFont val="Arial"/>
        <family val="0"/>
        <charset val="1"/>
      </rPr>
      <t xml:space="preserve">2021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日発売。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年に生産終了</t>
    </r>
  </si>
  <si>
    <r>
      <rPr>
        <sz val="10"/>
        <color rgb="FF000000"/>
        <rFont val="Arial"/>
        <family val="0"/>
        <charset val="1"/>
      </rPr>
      <t xml:space="preserve">GWM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Haval</t>
    </r>
    <r>
      <rPr>
        <sz val="10"/>
        <color rgb="FF000000"/>
        <rFont val="Noto Sans CJK SC"/>
        <family val="2"/>
      </rPr>
      <t xml:space="preserve">）</t>
    </r>
  </si>
  <si>
    <t xml:space="preserve">Haval H6</t>
  </si>
  <si>
    <t xml:space="preserve">https://cnevpost.com/2021/10/19/great-wall-motor-says-ora-good-cat-gets-over-6000-orders-within-48-hours-of-pre-sale-in-thailand</t>
  </si>
  <si>
    <r>
      <rPr>
        <sz val="10"/>
        <color rgb="FF000000"/>
        <rFont val="Arial"/>
        <family val="0"/>
        <charset val="1"/>
      </rPr>
      <t xml:space="preserve">2021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日発売。</t>
    </r>
    <r>
      <rPr>
        <sz val="10"/>
        <color rgb="FF000000"/>
        <rFont val="Arial"/>
        <family val="0"/>
        <charset val="1"/>
      </rPr>
      <t xml:space="preserve">GWM</t>
    </r>
    <r>
      <rPr>
        <sz val="10"/>
        <color rgb="FF000000"/>
        <rFont val="Noto Sans CJK SC"/>
        <family val="2"/>
      </rPr>
      <t xml:space="preserve">のタイ初投入車種</t>
    </r>
  </si>
  <si>
    <t xml:space="preserve">Tank 500</t>
  </si>
  <si>
    <r>
      <rPr>
        <sz val="10"/>
        <color rgb="FF000000"/>
        <rFont val="Noto Sans CJK SC"/>
        <family val="2"/>
      </rPr>
      <t xml:space="preserve">坦克</t>
    </r>
    <r>
      <rPr>
        <sz val="10"/>
        <color rgb="FF000000"/>
        <rFont val="Arial"/>
        <family val="0"/>
        <charset val="1"/>
      </rPr>
      <t xml:space="preserve">500</t>
    </r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</si>
  <si>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月のモーターショーで予約開始、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日発売</t>
    </r>
  </si>
  <si>
    <r>
      <rPr>
        <sz val="10"/>
        <color rgb="FF000000"/>
        <rFont val="Arial"/>
        <family val="0"/>
        <charset val="1"/>
      </rPr>
      <t xml:space="preserve">GWM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Wey</t>
    </r>
    <r>
      <rPr>
        <sz val="10"/>
        <color rgb="FF000000"/>
        <rFont val="Noto Sans CJK SC"/>
        <family val="2"/>
      </rPr>
      <t xml:space="preserve">）</t>
    </r>
  </si>
  <si>
    <t xml:space="preserve">Wey G9</t>
  </si>
  <si>
    <r>
      <rPr>
        <sz val="10"/>
        <color rgb="FF000000"/>
        <rFont val="Noto Sans CJK SC"/>
        <family val="2"/>
      </rPr>
      <t xml:space="preserve">高山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Gaoshan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</si>
  <si>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輸入（中国→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月〜マレーシア製）</t>
    </r>
  </si>
  <si>
    <t xml:space="preserve">供給元の切り替え</t>
  </si>
  <si>
    <t xml:space="preserve">https://carnewschina.com/2025/11/29/gwms-wey-g9-hi4-rhd-mpv-launched-in-thailand-priced-at-2-349-million-baht</t>
  </si>
  <si>
    <t xml:space="preserve">Haval Jolion</t>
  </si>
  <si>
    <t xml:space="preserve">発売時期は要確認</t>
  </si>
  <si>
    <r>
      <rPr>
        <sz val="10"/>
        <color rgb="FF000000"/>
        <rFont val="Arial"/>
        <family val="0"/>
        <charset val="1"/>
      </rPr>
      <t xml:space="preserve">GWM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Poer</t>
    </r>
    <r>
      <rPr>
        <sz val="10"/>
        <color rgb="FF000000"/>
        <rFont val="Noto Sans CJK SC"/>
        <family val="2"/>
      </rPr>
      <t xml:space="preserve">）</t>
    </r>
  </si>
  <si>
    <t xml:space="preserve">GWM Poer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</si>
  <si>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年に販売増。車種の実体と発売時期は要確認</t>
    </r>
  </si>
  <si>
    <r>
      <rPr>
        <sz val="10"/>
        <color rgb="FF000000"/>
        <rFont val="Noto Sans CJK SC"/>
        <family val="2"/>
      </rPr>
      <t xml:space="preserve">広汽（</t>
    </r>
    <r>
      <rPr>
        <sz val="10"/>
        <color rgb="FF000000"/>
        <rFont val="Arial"/>
        <family val="0"/>
        <charset val="1"/>
      </rPr>
      <t xml:space="preserve">GAC</t>
    </r>
    <r>
      <rPr>
        <sz val="10"/>
        <color rgb="FF000000"/>
        <rFont val="Noto Sans CJK SC"/>
        <family val="2"/>
      </rPr>
      <t xml:space="preserve">）</t>
    </r>
  </si>
  <si>
    <t xml:space="preserve">GAC Aion</t>
  </si>
  <si>
    <t xml:space="preserve">Aion UT</t>
  </si>
  <si>
    <r>
      <rPr>
        <sz val="10"/>
        <color rgb="FF000000"/>
        <rFont val="Noto Sans CJK SC"/>
        <family val="2"/>
      </rPr>
      <t xml:space="preserve">埃安</t>
    </r>
    <r>
      <rPr>
        <sz val="10"/>
        <color rgb="FF000000"/>
        <rFont val="Arial"/>
        <family val="0"/>
        <charset val="1"/>
      </rPr>
      <t xml:space="preserve">UT </t>
    </r>
    <r>
      <rPr>
        <sz val="10"/>
        <color rgb="FF000000"/>
        <rFont val="Noto Sans CJK SC"/>
        <family val="2"/>
      </rPr>
      <t xml:space="preserve">鸚鵡龍</t>
    </r>
  </si>
  <si>
    <t xml:space="preserve">https://autonews.gasgoo.com/articles/news/gac-puts-aion-ut-model-onto-thai-market-70037913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</si>
  <si>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日発売</t>
    </r>
  </si>
  <si>
    <t xml:space="preserve">Aion V</t>
  </si>
  <si>
    <r>
      <rPr>
        <sz val="10"/>
        <color rgb="FF000000"/>
        <rFont val="Arial"/>
        <family val="0"/>
        <charset val="1"/>
      </rPr>
      <t xml:space="preserve">AION V</t>
    </r>
    <r>
      <rPr>
        <sz val="10"/>
        <color rgb="FF000000"/>
        <rFont val="Noto Sans CJK SC"/>
        <family val="2"/>
      </rPr>
      <t xml:space="preserve">（第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世代）</t>
    </r>
  </si>
  <si>
    <t xml:space="preserve">https://autonews.gasgoo.com/china_news/70035792.html</t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</si>
  <si>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月末のモーターエキスポで発売（海外初）</t>
    </r>
  </si>
  <si>
    <t xml:space="preserve">Hyptec HT</t>
  </si>
  <si>
    <r>
      <rPr>
        <sz val="10"/>
        <color rgb="FF000000"/>
        <rFont val="Noto Sans CJK SC"/>
        <family val="2"/>
      </rPr>
      <t xml:space="preserve">昊鉑</t>
    </r>
    <r>
      <rPr>
        <sz val="10"/>
        <color rgb="FF000000"/>
        <rFont val="Arial"/>
        <family val="0"/>
        <charset val="1"/>
      </rPr>
      <t xml:space="preserve">HT</t>
    </r>
  </si>
  <si>
    <t xml:space="preserve">https://paultan.org/topics/cars/china/gac/</t>
  </si>
  <si>
    <t xml:space="preserve">Aion Y Plus</t>
  </si>
  <si>
    <r>
      <rPr>
        <sz val="10"/>
        <color rgb="FF000000"/>
        <rFont val="Noto Sans CJK SC"/>
        <family val="2"/>
      </rPr>
      <t xml:space="preserve">輸入→タイ生産（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月〜）</t>
    </r>
  </si>
  <si>
    <t xml:space="preserve">https://carnewschina.com/2023/09/09/gac-aion-y-plus-all-electric-suv-launched-in-thailand-price-starts-at-29900-usd/</t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</si>
  <si>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日発売。</t>
    </r>
    <r>
      <rPr>
        <sz val="10"/>
        <color rgb="FF000000"/>
        <rFont val="Arial"/>
        <family val="0"/>
        <charset val="1"/>
      </rPr>
      <t xml:space="preserve">GAC Aion</t>
    </r>
    <r>
      <rPr>
        <sz val="10"/>
        <color rgb="FF000000"/>
        <rFont val="Noto Sans CJK SC"/>
        <family val="2"/>
      </rPr>
      <t xml:space="preserve">の海外初投入車種</t>
    </r>
  </si>
  <si>
    <t xml:space="preserve">Aion ES</t>
  </si>
  <si>
    <t xml:space="preserve">主にタクシー向け</t>
  </si>
  <si>
    <t xml:space="preserve">GAC</t>
  </si>
  <si>
    <t xml:space="preserve">M8 PHEV</t>
  </si>
  <si>
    <t xml:space="preserve">https://www.motorexpo.co.th/en/news/5251</t>
  </si>
  <si>
    <r>
      <rPr>
        <sz val="10"/>
        <color rgb="FF000000"/>
        <rFont val="Noto Sans CJK SC"/>
        <family val="2"/>
      </rPr>
      <t xml:space="preserve">長安（</t>
    </r>
    <r>
      <rPr>
        <sz val="10"/>
        <color rgb="FF000000"/>
        <rFont val="Arial"/>
        <family val="0"/>
        <charset val="1"/>
      </rPr>
      <t xml:space="preserve">Changan</t>
    </r>
    <r>
      <rPr>
        <sz val="10"/>
        <color rgb="FF000000"/>
        <rFont val="Noto Sans CJK SC"/>
        <family val="2"/>
      </rPr>
      <t xml:space="preserve">）</t>
    </r>
  </si>
  <si>
    <t xml:space="preserve">Deepal</t>
  </si>
  <si>
    <t xml:space="preserve">S05</t>
  </si>
  <si>
    <r>
      <rPr>
        <sz val="10"/>
        <color rgb="FF000000"/>
        <rFont val="Noto Sans CJK SC"/>
        <family val="2"/>
      </rPr>
      <t xml:space="preserve">深藍</t>
    </r>
    <r>
      <rPr>
        <sz val="10"/>
        <color rgb="FF000000"/>
        <rFont val="Arial"/>
        <family val="0"/>
        <charset val="1"/>
      </rPr>
      <t xml:space="preserve">S05</t>
    </r>
  </si>
  <si>
    <t xml:space="preserve">https://www.wapcar.my/news/bound-for-malaysia-deepal-s05-launched-in-thailand-in-bev-and-reev-guises-from-equivalent-of-rm-104k-740152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</si>
  <si>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月のバンコク・モーターショーで発売</t>
    </r>
  </si>
  <si>
    <t xml:space="preserve">S07</t>
  </si>
  <si>
    <r>
      <rPr>
        <sz val="10"/>
        <color rgb="FF000000"/>
        <rFont val="Noto Sans CJK SC"/>
        <family val="2"/>
      </rPr>
      <t xml:space="preserve">深藍</t>
    </r>
    <r>
      <rPr>
        <sz val="10"/>
        <color rgb="FF000000"/>
        <rFont val="Arial"/>
        <family val="0"/>
        <charset val="1"/>
      </rPr>
      <t xml:space="preserve">S7</t>
    </r>
  </si>
  <si>
    <r>
      <rPr>
        <sz val="10"/>
        <color rgb="FF000000"/>
        <rFont val="Noto Sans CJK SC"/>
        <family val="2"/>
      </rPr>
      <t xml:space="preserve">改良型（</t>
    </r>
    <r>
      <rPr>
        <sz val="10"/>
        <color rgb="FF000000"/>
        <rFont val="Arial"/>
        <family val="0"/>
        <charset val="1"/>
      </rPr>
      <t xml:space="preserve">New S07</t>
    </r>
    <r>
      <rPr>
        <sz val="10"/>
        <color rgb="FF000000"/>
        <rFont val="Noto Sans CJK SC"/>
        <family val="2"/>
      </rPr>
      <t xml:space="preserve">）を投入</t>
    </r>
  </si>
  <si>
    <r>
      <rPr>
        <sz val="10"/>
        <color rgb="FF000000"/>
        <rFont val="Noto Sans CJK SC"/>
        <family val="2"/>
      </rPr>
      <t xml:space="preserve">発表（</t>
    </r>
    <r>
      <rPr>
        <sz val="10"/>
        <color rgb="FF000000"/>
        <rFont val="Arial"/>
        <family val="0"/>
        <charset val="1"/>
      </rPr>
      <t xml:space="preserve">2023-11</t>
    </r>
    <r>
      <rPr>
        <sz val="10"/>
        <color rgb="FF000000"/>
        <rFont val="Noto Sans CJK SC"/>
        <family val="2"/>
      </rPr>
      <t xml:space="preserve">）と納車（</t>
    </r>
    <r>
      <rPr>
        <sz val="10"/>
        <color rgb="FF000000"/>
        <rFont val="Arial"/>
        <family val="0"/>
        <charset val="1"/>
      </rPr>
      <t xml:space="preserve">2024-01</t>
    </r>
    <r>
      <rPr>
        <sz val="10"/>
        <color rgb="FF000000"/>
        <rFont val="Noto Sans CJK SC"/>
        <family val="2"/>
      </rPr>
      <t xml:space="preserve">）にずれ</t>
    </r>
  </si>
  <si>
    <t xml:space="preserve">https://cnevpost.com/2023/11/30/deepal-starts-selling-2-ev-models-thailand/</t>
  </si>
  <si>
    <r>
      <rPr>
        <sz val="10"/>
        <color rgb="FF000000"/>
        <rFont val="Arial"/>
        <family val="0"/>
        <charset val="1"/>
      </rPr>
      <t xml:space="preserve">Deepal</t>
    </r>
    <r>
      <rPr>
        <sz val="10"/>
        <color rgb="FF000000"/>
        <rFont val="Noto Sans CJK SC"/>
        <family val="2"/>
      </rPr>
      <t xml:space="preserve">の海外初投入</t>
    </r>
  </si>
  <si>
    <t xml:space="preserve">L07</t>
  </si>
  <si>
    <r>
      <rPr>
        <sz val="10"/>
        <color rgb="FF000000"/>
        <rFont val="Noto Sans CJK SC"/>
        <family val="2"/>
      </rPr>
      <t xml:space="preserve">深藍</t>
    </r>
    <r>
      <rPr>
        <sz val="10"/>
        <color rgb="FF000000"/>
        <rFont val="Arial"/>
        <family val="0"/>
        <charset val="1"/>
      </rPr>
      <t xml:space="preserve">SL03</t>
    </r>
  </si>
  <si>
    <t xml:space="preserve">E07</t>
  </si>
  <si>
    <r>
      <rPr>
        <sz val="10"/>
        <color rgb="FF000000"/>
        <rFont val="Noto Sans CJK SC"/>
        <family val="2"/>
      </rPr>
      <t xml:space="preserve">深藍</t>
    </r>
    <r>
      <rPr>
        <sz val="10"/>
        <color rgb="FF000000"/>
        <rFont val="Arial"/>
        <family val="0"/>
        <charset val="1"/>
      </rPr>
      <t xml:space="preserve">E07</t>
    </r>
  </si>
  <si>
    <t xml:space="preserve">https://en.thairath.co.th/news/auto/2910923</t>
  </si>
  <si>
    <t xml:space="preserve">Changan</t>
  </si>
  <si>
    <t xml:space="preserve">Lumin</t>
  </si>
  <si>
    <t xml:space="preserve">小型ハッチ</t>
  </si>
  <si>
    <t xml:space="preserve">Nevo Q05</t>
  </si>
  <si>
    <r>
      <rPr>
        <sz val="10"/>
        <color rgb="FF000000"/>
        <rFont val="Noto Sans CJK SC"/>
        <family val="2"/>
      </rPr>
      <t xml:space="preserve">啓源</t>
    </r>
    <r>
      <rPr>
        <sz val="10"/>
        <color rgb="FF000000"/>
        <rFont val="Arial"/>
        <family val="0"/>
        <charset val="1"/>
      </rPr>
      <t xml:space="preserve">Q05</t>
    </r>
  </si>
  <si>
    <t xml:space="preserve">https://carnewschina.com/2026/05/29/changans-atto-2-rival-nevo-q05-launches-in-thailand-starting-from-19400-usd/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</si>
  <si>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日発売。ラヨーン工場の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車種目</t>
    </r>
  </si>
  <si>
    <t xml:space="preserve">Avatr</t>
  </si>
  <si>
    <t xml:space="preserve">Avatr 11</t>
  </si>
  <si>
    <r>
      <rPr>
        <sz val="10"/>
        <color rgb="FF000000"/>
        <rFont val="Noto Sans CJK SC"/>
        <family val="2"/>
      </rPr>
      <t xml:space="preserve">阿維塔</t>
    </r>
    <r>
      <rPr>
        <sz val="10"/>
        <color rgb="FF000000"/>
        <rFont val="Arial"/>
        <family val="0"/>
        <charset val="1"/>
      </rPr>
      <t xml:space="preserve">11</t>
    </r>
  </si>
  <si>
    <r>
      <rPr>
        <sz val="10"/>
        <color rgb="FF000000"/>
        <rFont val="Noto Sans CJK SC"/>
        <family val="2"/>
      </rPr>
      <t xml:space="preserve">発表（</t>
    </r>
    <r>
      <rPr>
        <sz val="10"/>
        <color rgb="FF000000"/>
        <rFont val="Arial"/>
        <family val="0"/>
        <charset val="1"/>
      </rPr>
      <t xml:space="preserve">2024-09</t>
    </r>
    <r>
      <rPr>
        <sz val="10"/>
        <color rgb="FF000000"/>
        <rFont val="Noto Sans CJK SC"/>
        <family val="2"/>
      </rPr>
      <t xml:space="preserve">）と納車（</t>
    </r>
    <r>
      <rPr>
        <sz val="10"/>
        <color rgb="FF000000"/>
        <rFont val="Arial"/>
        <family val="0"/>
        <charset val="1"/>
      </rPr>
      <t xml:space="preserve">2024-11</t>
    </r>
    <r>
      <rPr>
        <sz val="10"/>
        <color rgb="FF000000"/>
        <rFont val="Noto Sans CJK SC"/>
        <family val="2"/>
      </rPr>
      <t xml:space="preserve">）にずれ</t>
    </r>
  </si>
  <si>
    <t xml:space="preserve">https://cnevpost.com/2026/01/28/avatr-rolls-off-1st-right-hand-drive-07-suvs/</t>
  </si>
  <si>
    <t xml:space="preserve">Avatr 07</t>
  </si>
  <si>
    <r>
      <rPr>
        <sz val="10"/>
        <color rgb="FF000000"/>
        <rFont val="Noto Sans CJK SC"/>
        <family val="2"/>
      </rPr>
      <t xml:space="preserve">阿維塔</t>
    </r>
    <r>
      <rPr>
        <sz val="10"/>
        <color rgb="FF000000"/>
        <rFont val="Arial"/>
        <family val="0"/>
        <charset val="1"/>
      </rPr>
      <t xml:space="preserve">07</t>
    </r>
  </si>
  <si>
    <r>
      <rPr>
        <sz val="10"/>
        <color rgb="FF000000"/>
        <rFont val="Noto Sans CJK SC"/>
        <family val="2"/>
      </rPr>
      <t xml:space="preserve">発表（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）と納車（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年初）にずれ</t>
    </r>
  </si>
  <si>
    <t xml:space="preserve">https://en.thairath.co.th/news/auto/2904026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</si>
  <si>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42</t>
    </r>
    <r>
      <rPr>
        <sz val="10"/>
        <color rgb="FF000000"/>
        <rFont val="Noto Sans CJK SC"/>
        <family val="2"/>
      </rPr>
      <t xml:space="preserve">回モーターエキスポで発売</t>
    </r>
  </si>
  <si>
    <r>
      <rPr>
        <sz val="10"/>
        <color rgb="FF000000"/>
        <rFont val="Noto Sans CJK SC"/>
        <family val="2"/>
      </rPr>
      <t xml:space="preserve">小鵬（</t>
    </r>
    <r>
      <rPr>
        <sz val="10"/>
        <color rgb="FF000000"/>
        <rFont val="Arial"/>
        <family val="0"/>
        <charset val="1"/>
      </rPr>
      <t xml:space="preserve">Xpeng</t>
    </r>
    <r>
      <rPr>
        <sz val="10"/>
        <color rgb="FF000000"/>
        <rFont val="Noto Sans CJK SC"/>
        <family val="2"/>
      </rPr>
      <t xml:space="preserve">）</t>
    </r>
  </si>
  <si>
    <t xml:space="preserve">Xpeng</t>
  </si>
  <si>
    <t xml:space="preserve">G6</t>
  </si>
  <si>
    <r>
      <rPr>
        <sz val="10"/>
        <color rgb="FF000000"/>
        <rFont val="Noto Sans CJK SC"/>
        <family val="2"/>
      </rPr>
      <t xml:space="preserve">公開・予約（</t>
    </r>
    <r>
      <rPr>
        <sz val="10"/>
        <color rgb="FF000000"/>
        <rFont val="Arial"/>
        <family val="0"/>
        <charset val="1"/>
      </rPr>
      <t xml:space="preserve">2024-03</t>
    </r>
    <r>
      <rPr>
        <sz val="10"/>
        <color rgb="FF000000"/>
        <rFont val="Noto Sans CJK SC"/>
        <family val="2"/>
      </rPr>
      <t xml:space="preserve">）と価格発表にずれ</t>
    </r>
  </si>
  <si>
    <t xml:space="preserve">https://www.wapcar.my/news/xpeng-g6-bev-launched-in-thailand-from-an-equivalent-of-rm-183k-81378</t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</si>
  <si>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月のモーターショーでブランド参入</t>
    </r>
  </si>
  <si>
    <t xml:space="preserve">X9</t>
  </si>
  <si>
    <t xml:space="preserve">https://www.carz.com.my/2024/11/xpeng-x9-debuts-in-thailand-from-rm361k-malaysia-soon?amp=1</t>
  </si>
  <si>
    <r>
      <rPr>
        <sz val="10"/>
        <color rgb="FF000000"/>
        <rFont val="Noto Sans CJK SC"/>
        <family val="2"/>
      </rPr>
      <t xml:space="preserve">零跑（</t>
    </r>
    <r>
      <rPr>
        <sz val="10"/>
        <color rgb="FF000000"/>
        <rFont val="Arial"/>
        <family val="0"/>
        <charset val="1"/>
      </rPr>
      <t xml:space="preserve">Leapmotor</t>
    </r>
    <r>
      <rPr>
        <sz val="10"/>
        <color rgb="FF000000"/>
        <rFont val="Noto Sans CJK SC"/>
        <family val="2"/>
      </rPr>
      <t xml:space="preserve">）</t>
    </r>
  </si>
  <si>
    <t xml:space="preserve">Leapmotor</t>
  </si>
  <si>
    <t xml:space="preserve">B10</t>
  </si>
  <si>
    <t xml:space="preserve">https://autobuzz.my/2025/10/13/leapmotor-b10-debuts-in-thailand-same-power-as-c10-smaller-package/</t>
  </si>
  <si>
    <t xml:space="preserve">C10</t>
  </si>
  <si>
    <t xml:space="preserve">https://autolifethailand.tv/leapmotor-b10-ev-bev-coming-thailand-oct2025/</t>
  </si>
  <si>
    <r>
      <rPr>
        <sz val="10"/>
        <color rgb="FF000000"/>
        <rFont val="Noto Sans CJK SC"/>
        <family val="2"/>
      </rPr>
      <t xml:space="preserve">上汽通用五菱（</t>
    </r>
    <r>
      <rPr>
        <sz val="10"/>
        <color rgb="FF000000"/>
        <rFont val="Arial"/>
        <family val="0"/>
        <charset val="1"/>
      </rPr>
      <t xml:space="preserve">SGMW</t>
    </r>
    <r>
      <rPr>
        <sz val="10"/>
        <color rgb="FF000000"/>
        <rFont val="Noto Sans CJK SC"/>
        <family val="2"/>
      </rPr>
      <t xml:space="preserve">）</t>
    </r>
  </si>
  <si>
    <t xml:space="preserve">Wuling</t>
  </si>
  <si>
    <t xml:space="preserve">Starlight Darion EV</t>
  </si>
  <si>
    <r>
      <rPr>
        <sz val="10"/>
        <color rgb="FF000000"/>
        <rFont val="Noto Sans CJK SC"/>
        <family val="2"/>
      </rPr>
      <t xml:space="preserve">星光</t>
    </r>
    <r>
      <rPr>
        <sz val="10"/>
        <color rgb="FF000000"/>
        <rFont val="Arial"/>
        <family val="0"/>
        <charset val="1"/>
      </rPr>
      <t xml:space="preserve">730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Starlight 730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</si>
  <si>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タイ組立（</t>
    </r>
    <r>
      <rPr>
        <sz val="10"/>
        <color rgb="FF000000"/>
        <rFont val="Arial"/>
        <family val="0"/>
        <charset val="1"/>
      </rPr>
      <t xml:space="preserve">Laem Chabang</t>
    </r>
    <r>
      <rPr>
        <sz val="10"/>
        <color rgb="FF000000"/>
        <rFont val="Noto Sans CJK SC"/>
        <family val="2"/>
      </rPr>
      <t xml:space="preserve">）</t>
    </r>
  </si>
  <si>
    <t xml:space="preserve">https://en.thairath.co.th/news/auto/2918624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</si>
  <si>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月発売（</t>
    </r>
    <r>
      <rPr>
        <sz val="10"/>
        <color rgb="FF000000"/>
        <rFont val="Arial"/>
        <family val="0"/>
        <charset val="1"/>
      </rPr>
      <t xml:space="preserve">79.9</t>
    </r>
    <r>
      <rPr>
        <sz val="10"/>
        <color rgb="FF000000"/>
        <rFont val="Noto Sans CJK SC"/>
        <family val="2"/>
      </rPr>
      <t xml:space="preserve">万バーツ〜）。ランキング上の表記は</t>
    </r>
    <r>
      <rPr>
        <sz val="10"/>
        <color rgb="FF000000"/>
        <rFont val="Arial"/>
        <family val="0"/>
        <charset val="1"/>
      </rPr>
      <t xml:space="preserve">Darion</t>
    </r>
  </si>
  <si>
    <t xml:space="preserve">Binguo EV</t>
  </si>
  <si>
    <t xml:space="preserve">繽果</t>
  </si>
  <si>
    <t xml:space="preserve">Air EV</t>
  </si>
  <si>
    <r>
      <rPr>
        <sz val="10"/>
        <color rgb="FF000000"/>
        <rFont val="Noto Sans CJK SC"/>
        <family val="2"/>
      </rPr>
      <t xml:space="preserve">小型</t>
    </r>
    <r>
      <rPr>
        <sz val="10"/>
        <color rgb="FF000000"/>
        <rFont val="Arial"/>
        <family val="0"/>
        <charset val="1"/>
      </rPr>
      <t xml:space="preserve">EV</t>
    </r>
  </si>
  <si>
    <t xml:space="preserve">Porta EV</t>
  </si>
  <si>
    <t xml:space="preserve">https://en.thairath.co.th/news/auto/2925570</t>
  </si>
  <si>
    <r>
      <rPr>
        <sz val="10"/>
        <color rgb="FF000000"/>
        <rFont val="Arial"/>
        <family val="0"/>
        <charset val="1"/>
      </rPr>
      <t xml:space="preserve">Darion</t>
    </r>
    <r>
      <rPr>
        <sz val="10"/>
        <color rgb="FF000000"/>
        <rFont val="Noto Sans CJK SC"/>
        <family val="2"/>
      </rPr>
      <t xml:space="preserve">発売の約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か月後に発売</t>
    </r>
  </si>
  <si>
    <r>
      <rPr>
        <sz val="10"/>
        <color rgb="FF000000"/>
        <rFont val="Noto Sans CJK SC"/>
        <family val="2"/>
      </rPr>
      <t xml:space="preserve">合衆（</t>
    </r>
    <r>
      <rPr>
        <sz val="10"/>
        <color rgb="FF000000"/>
        <rFont val="Arial"/>
        <family val="0"/>
        <charset val="1"/>
      </rPr>
      <t xml:space="preserve">Hozon</t>
    </r>
    <r>
      <rPr>
        <sz val="10"/>
        <color rgb="FF000000"/>
        <rFont val="Noto Sans CJK SC"/>
        <family val="2"/>
      </rPr>
      <t xml:space="preserve">）</t>
    </r>
  </si>
  <si>
    <t xml:space="preserve">Neta</t>
  </si>
  <si>
    <t xml:space="preserve">Neta V</t>
  </si>
  <si>
    <r>
      <rPr>
        <sz val="10"/>
        <color rgb="FF000000"/>
        <rFont val="Noto Sans CJK SC"/>
        <family val="2"/>
      </rPr>
      <t xml:space="preserve">哪吒</t>
    </r>
    <r>
      <rPr>
        <sz val="10"/>
        <color rgb="FF000000"/>
        <rFont val="Arial"/>
        <family val="0"/>
        <charset val="1"/>
      </rPr>
      <t xml:space="preserve">V</t>
    </r>
  </si>
  <si>
    <t xml:space="preserve">本国の経営悪化で販売急減</t>
  </si>
  <si>
    <t xml:space="preserve">韓国系</t>
  </si>
  <si>
    <t xml:space="preserve">現代自</t>
  </si>
  <si>
    <t xml:space="preserve">Hyundai</t>
  </si>
  <si>
    <t xml:space="preserve">Staria</t>
  </si>
  <si>
    <r>
      <rPr>
        <sz val="10"/>
        <color rgb="FF000000"/>
        <rFont val="Arial"/>
        <family val="0"/>
        <charset val="1"/>
      </rPr>
      <t xml:space="preserve">MPV</t>
    </r>
    <r>
      <rPr>
        <sz val="10"/>
        <color rgb="FF000000"/>
        <rFont val="Noto Sans CJK SC"/>
        <family val="2"/>
      </rPr>
      <t xml:space="preserve">／バン</t>
    </r>
  </si>
  <si>
    <t xml:space="preserve">輸入（韓国）</t>
  </si>
  <si>
    <t xml:space="preserve">Santa Fe</t>
  </si>
  <si>
    <r>
      <rPr>
        <sz val="10"/>
        <color rgb="FF000000"/>
        <rFont val="Noto Sans CJK SC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世代とみられる</t>
    </r>
  </si>
  <si>
    <t xml:space="preserve">Ioniq 5</t>
  </si>
  <si>
    <r>
      <rPr>
        <sz val="10"/>
        <color rgb="FF000000"/>
        <rFont val="Noto Sans CJK SC"/>
        <family val="2"/>
      </rPr>
      <t xml:space="preserve">タイ組立（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年〜）</t>
    </r>
  </si>
  <si>
    <t xml:space="preserve">Stargazer X</t>
  </si>
  <si>
    <t xml:space="preserve">Palisade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</si>
  <si>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年に新規表記（世代交代の可能性）</t>
    </r>
  </si>
  <si>
    <t xml:space="preserve">Creta</t>
  </si>
  <si>
    <t xml:space="preserve">起亜</t>
  </si>
  <si>
    <t xml:space="preserve">Kia</t>
  </si>
  <si>
    <t xml:space="preserve">Carnival</t>
  </si>
  <si>
    <r>
      <rPr>
        <sz val="10"/>
        <color rgb="FF000000"/>
        <rFont val="Noto Sans CJK SC"/>
        <family val="2"/>
      </rPr>
      <t xml:space="preserve">ディーゼル／</t>
    </r>
    <r>
      <rPr>
        <sz val="10"/>
        <color rgb="FF000000"/>
        <rFont val="Arial"/>
        <family val="0"/>
        <charset val="1"/>
      </rPr>
      <t xml:space="preserve">HEV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</si>
  <si>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年に改良</t>
    </r>
  </si>
  <si>
    <t xml:space="preserve">EV5</t>
  </si>
  <si>
    <t xml:space="preserve">PV5</t>
  </si>
  <si>
    <t xml:space="preserve">Sorento</t>
  </si>
  <si>
    <t xml:space="preserve">米国系</t>
  </si>
  <si>
    <t xml:space="preserve">フォード</t>
  </si>
  <si>
    <t xml:space="preserve">Ford</t>
  </si>
  <si>
    <t xml:space="preserve">Ranger</t>
  </si>
  <si>
    <t xml:space="preserve">https://autolifethailand.tv/?p=51559</t>
  </si>
  <si>
    <r>
      <rPr>
        <sz val="10"/>
        <color rgb="FF000000"/>
        <rFont val="Noto Sans CJK SC"/>
        <family val="2"/>
      </rPr>
      <t xml:space="preserve">次世代型を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月のモーターショーで発売</t>
    </r>
  </si>
  <si>
    <t xml:space="preserve">Ranger Raptor</t>
  </si>
  <si>
    <r>
      <rPr>
        <sz val="10"/>
        <color rgb="FF000000"/>
        <rFont val="Noto Sans CJK SC"/>
        <family val="2"/>
      </rPr>
      <t xml:space="preserve">不明（</t>
    </r>
    <r>
      <rPr>
        <sz val="10"/>
        <color rgb="FF000000"/>
        <rFont val="Arial"/>
        <family val="0"/>
        <charset val="1"/>
      </rPr>
      <t xml:space="preserve">Ranger</t>
    </r>
    <r>
      <rPr>
        <sz val="10"/>
        <color rgb="FF000000"/>
        <rFont val="Noto Sans CJK SC"/>
        <family val="2"/>
      </rPr>
      <t xml:space="preserve">に合算の可能性）</t>
    </r>
  </si>
  <si>
    <r>
      <rPr>
        <sz val="10"/>
        <color rgb="FF000000"/>
        <rFont val="Noto Sans CJK SC"/>
        <family val="2"/>
      </rPr>
      <t xml:space="preserve">納車は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月頃から</t>
    </r>
  </si>
  <si>
    <t xml:space="preserve">Everest</t>
  </si>
  <si>
    <r>
      <rPr>
        <sz val="10"/>
        <color rgb="FF000000"/>
        <rFont val="Arial"/>
        <family val="0"/>
        <charset val="1"/>
      </rPr>
      <t xml:space="preserve">Endeavour</t>
    </r>
    <r>
      <rPr>
        <sz val="10"/>
        <color rgb="FF000000"/>
        <rFont val="Noto Sans CJK SC"/>
        <family val="2"/>
      </rPr>
      <t xml:space="preserve">（インド旧名）</t>
    </r>
  </si>
  <si>
    <t xml:space="preserve">テスラ</t>
  </si>
  <si>
    <t xml:space="preserve">Tesla</t>
  </si>
  <si>
    <t xml:space="preserve">Model 3</t>
  </si>
  <si>
    <r>
      <rPr>
        <sz val="10"/>
        <color rgb="FF000000"/>
        <rFont val="Arial"/>
        <family val="0"/>
        <charset val="1"/>
      </rPr>
      <t xml:space="preserve">Model 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Highland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</si>
  <si>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改良型。初代は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月発売</t>
    </r>
  </si>
  <si>
    <t xml:space="preserve">Model Y</t>
  </si>
  <si>
    <r>
      <rPr>
        <sz val="10"/>
        <color rgb="FF000000"/>
        <rFont val="Arial"/>
        <family val="0"/>
        <charset val="1"/>
      </rPr>
      <t xml:space="preserve">Model 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Juniper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</si>
  <si>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受注（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）と納車（</t>
    </r>
    <r>
      <rPr>
        <sz val="10"/>
        <color rgb="FF000000"/>
        <rFont val="Arial"/>
        <family val="0"/>
        <charset val="1"/>
      </rPr>
      <t xml:space="preserve">2025-05</t>
    </r>
    <r>
      <rPr>
        <sz val="10"/>
        <color rgb="FF000000"/>
        <rFont val="Noto Sans CJK SC"/>
        <family val="2"/>
      </rPr>
      <t xml:space="preserve">）にずれ</t>
    </r>
  </si>
  <si>
    <t xml:space="preserve">https://www.marketingoops.com/?p=337454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</si>
  <si>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日受注開始</t>
    </r>
  </si>
  <si>
    <t xml:space="preserve">欧州系</t>
  </si>
  <si>
    <t xml:space="preserve">メルセデス・ベンツ</t>
  </si>
  <si>
    <t xml:space="preserve">Mercedes-Benz</t>
  </si>
  <si>
    <t xml:space="preserve">C-Class</t>
  </si>
  <si>
    <r>
      <rPr>
        <sz val="10"/>
        <color rgb="FF000000"/>
        <rFont val="Arial"/>
        <family val="0"/>
        <charset val="1"/>
      </rPr>
      <t xml:space="preserve">PHEV</t>
    </r>
    <r>
      <rPr>
        <sz val="10"/>
        <color rgb="FF000000"/>
        <rFont val="Noto Sans CJK SC"/>
        <family val="2"/>
      </rPr>
      <t xml:space="preserve">／ガソリン</t>
    </r>
  </si>
  <si>
    <t xml:space="preserve">タイ組立とみられる（要確認）</t>
  </si>
  <si>
    <t xml:space="preserve">W206</t>
  </si>
  <si>
    <t xml:space="preserve">E-Class</t>
  </si>
  <si>
    <t xml:space="preserve">W214</t>
  </si>
  <si>
    <t xml:space="preserve">GLC</t>
  </si>
  <si>
    <t xml:space="preserve">X254</t>
  </si>
  <si>
    <t xml:space="preserve">CLE</t>
  </si>
  <si>
    <t xml:space="preserve">GLA</t>
  </si>
  <si>
    <t xml:space="preserve">CLS</t>
  </si>
  <si>
    <t xml:space="preserve">ランキング表記どおり。実体は要確認</t>
  </si>
  <si>
    <t xml:space="preserve">GLE</t>
  </si>
  <si>
    <t xml:space="preserve">EQE SUV</t>
  </si>
  <si>
    <t xml:space="preserve">A-Class</t>
  </si>
  <si>
    <t xml:space="preserve">S-Class</t>
  </si>
  <si>
    <t xml:space="preserve">W223</t>
  </si>
  <si>
    <t xml:space="preserve">CLA</t>
  </si>
  <si>
    <r>
      <rPr>
        <sz val="10"/>
        <color rgb="FF000000"/>
        <rFont val="Noto Sans CJK SC"/>
        <family val="2"/>
      </rPr>
      <t xml:space="preserve">新型とみられる。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年に販売増</t>
    </r>
  </si>
  <si>
    <t xml:space="preserve">EQE</t>
  </si>
  <si>
    <t xml:space="preserve">EQS SUV</t>
  </si>
  <si>
    <t xml:space="preserve">Sprinter</t>
  </si>
  <si>
    <t xml:space="preserve">V-Class</t>
  </si>
  <si>
    <t xml:space="preserve">Vito</t>
  </si>
  <si>
    <t xml:space="preserve">EQS</t>
  </si>
  <si>
    <t xml:space="preserve">BMW</t>
  </si>
  <si>
    <t xml:space="preserve">3 Series</t>
  </si>
  <si>
    <t xml:space="preserve">G20</t>
  </si>
  <si>
    <t xml:space="preserve">X1</t>
  </si>
  <si>
    <t xml:space="preserve">U11</t>
  </si>
  <si>
    <t xml:space="preserve">5 Series</t>
  </si>
  <si>
    <t xml:space="preserve">G60</t>
  </si>
  <si>
    <t xml:space="preserve">X3</t>
  </si>
  <si>
    <t xml:space="preserve">G45</t>
  </si>
  <si>
    <t xml:space="preserve">iX1</t>
  </si>
  <si>
    <t xml:space="preserve">2 Series Gran Coupe</t>
  </si>
  <si>
    <t xml:space="preserve">X5</t>
  </si>
  <si>
    <t xml:space="preserve">G05</t>
  </si>
  <si>
    <t xml:space="preserve">i5</t>
  </si>
  <si>
    <t xml:space="preserve">X4</t>
  </si>
  <si>
    <t xml:space="preserve">4 Series Coupe</t>
  </si>
  <si>
    <t xml:space="preserve">iX3</t>
  </si>
  <si>
    <r>
      <rPr>
        <sz val="10"/>
        <color rgb="FF000000"/>
        <rFont val="Noto Sans CJK SC"/>
        <family val="2"/>
      </rPr>
      <t xml:space="preserve">旧型（</t>
    </r>
    <r>
      <rPr>
        <sz val="10"/>
        <color rgb="FF000000"/>
        <rFont val="Arial"/>
        <family val="0"/>
        <charset val="1"/>
      </rPr>
      <t xml:space="preserve">G08</t>
    </r>
    <r>
      <rPr>
        <sz val="10"/>
        <color rgb="FF000000"/>
        <rFont val="Noto Sans CJK SC"/>
        <family val="2"/>
      </rPr>
      <t xml:space="preserve">）とみられる</t>
    </r>
  </si>
  <si>
    <t xml:space="preserve">i7</t>
  </si>
  <si>
    <t xml:space="preserve">X6</t>
  </si>
  <si>
    <t xml:space="preserve">X7</t>
  </si>
  <si>
    <t xml:space="preserve">7 Series</t>
  </si>
  <si>
    <t xml:space="preserve">G70</t>
  </si>
  <si>
    <t xml:space="preserve">iX</t>
  </si>
  <si>
    <t xml:space="preserve">MINI</t>
  </si>
  <si>
    <t xml:space="preserve">Cooper SE</t>
  </si>
  <si>
    <t xml:space="preserve">J01</t>
  </si>
  <si>
    <t xml:space="preserve">Aceman</t>
  </si>
  <si>
    <t xml:space="preserve">Countryman</t>
  </si>
  <si>
    <r>
      <rPr>
        <sz val="10"/>
        <color rgb="FF000000"/>
        <rFont val="Noto Sans CJK SC"/>
        <family val="2"/>
      </rPr>
      <t xml:space="preserve">ガソリン／</t>
    </r>
    <r>
      <rPr>
        <sz val="10"/>
        <color rgb="FF000000"/>
        <rFont val="Arial"/>
        <family val="0"/>
        <charset val="1"/>
      </rPr>
      <t xml:space="preserve">BEV</t>
    </r>
  </si>
  <si>
    <t xml:space="preserve">U25</t>
  </si>
  <si>
    <r>
      <rPr>
        <sz val="10"/>
        <color rgb="FF000000"/>
        <rFont val="Noto Sans CJK SC"/>
        <family val="2"/>
      </rPr>
      <t xml:space="preserve">吉利（</t>
    </r>
    <r>
      <rPr>
        <sz val="10"/>
        <color rgb="FF000000"/>
        <rFont val="Arial"/>
        <family val="0"/>
        <charset val="1"/>
      </rPr>
      <t xml:space="preserve">Volvo Cars</t>
    </r>
    <r>
      <rPr>
        <sz val="10"/>
        <color rgb="FF000000"/>
        <rFont val="Noto Sans CJK SC"/>
        <family val="2"/>
      </rPr>
      <t xml:space="preserve">）</t>
    </r>
  </si>
  <si>
    <t xml:space="preserve">Volvo</t>
  </si>
  <si>
    <t xml:space="preserve">EX40</t>
  </si>
  <si>
    <r>
      <rPr>
        <sz val="10"/>
        <color rgb="FF000000"/>
        <rFont val="Noto Sans CJK SC"/>
        <family val="2"/>
      </rPr>
      <t xml:space="preserve">旧</t>
    </r>
    <r>
      <rPr>
        <sz val="10"/>
        <color rgb="FF000000"/>
        <rFont val="Arial"/>
        <family val="0"/>
        <charset val="1"/>
      </rPr>
      <t xml:space="preserve">XC40 Recharge</t>
    </r>
  </si>
  <si>
    <t xml:space="preserve">EX30</t>
  </si>
  <si>
    <t xml:space="preserve">EC40</t>
  </si>
  <si>
    <r>
      <rPr>
        <sz val="10"/>
        <color rgb="FF000000"/>
        <rFont val="Noto Sans CJK SC"/>
        <family val="2"/>
      </rPr>
      <t xml:space="preserve">旧</t>
    </r>
    <r>
      <rPr>
        <sz val="10"/>
        <color rgb="FF000000"/>
        <rFont val="Arial"/>
        <family val="0"/>
        <charset val="1"/>
      </rPr>
      <t xml:space="preserve">C40 Recharge</t>
    </r>
  </si>
  <si>
    <t xml:space="preserve">XC60</t>
  </si>
  <si>
    <t xml:space="preserve">ES90</t>
  </si>
  <si>
    <t xml:space="preserve">XC90</t>
  </si>
  <si>
    <r>
      <rPr>
        <sz val="10"/>
        <color rgb="FF000000"/>
        <rFont val="Noto Sans CJK SC"/>
        <family val="2"/>
      </rPr>
      <t xml:space="preserve">フォルクスワーゲン（</t>
    </r>
    <r>
      <rPr>
        <sz val="10"/>
        <color rgb="FF000000"/>
        <rFont val="Arial"/>
        <family val="0"/>
        <charset val="1"/>
      </rPr>
      <t xml:space="preserve">Porsche</t>
    </r>
    <r>
      <rPr>
        <sz val="10"/>
        <color rgb="FF000000"/>
        <rFont val="Noto Sans CJK SC"/>
        <family val="2"/>
      </rPr>
      <t xml:space="preserve">）</t>
    </r>
  </si>
  <si>
    <t xml:space="preserve">Porsche</t>
  </si>
  <si>
    <t xml:space="preserve">Cayenne</t>
  </si>
  <si>
    <t xml:space="preserve">Panamera</t>
  </si>
  <si>
    <t xml:space="preserve">911</t>
  </si>
  <si>
    <r>
      <rPr>
        <sz val="10"/>
        <color rgb="FF000000"/>
        <rFont val="Arial"/>
        <family val="0"/>
        <charset val="1"/>
      </rPr>
      <t xml:space="preserve">992</t>
    </r>
    <r>
      <rPr>
        <sz val="10"/>
        <color rgb="FF000000"/>
        <rFont val="Noto Sans CJK SC"/>
        <family val="2"/>
      </rPr>
      <t xml:space="preserve">型</t>
    </r>
  </si>
  <si>
    <t xml:space="preserve">Taycan</t>
  </si>
  <si>
    <t xml:space="preserve">Macan</t>
  </si>
  <si>
    <r>
      <rPr>
        <sz val="10"/>
        <color rgb="FF000000"/>
        <rFont val="Arial"/>
        <family val="0"/>
        <charset val="1"/>
      </rPr>
      <t xml:space="preserve">EV</t>
    </r>
    <r>
      <rPr>
        <sz val="10"/>
        <color rgb="FF000000"/>
        <rFont val="Noto Sans CJK SC"/>
        <family val="2"/>
      </rPr>
      <t xml:space="preserve">版</t>
    </r>
  </si>
  <si>
    <t xml:space="preserve">718</t>
  </si>
  <si>
    <t xml:space="preserve">スポーツ</t>
  </si>
  <si>
    <r>
      <rPr>
        <sz val="10"/>
        <color rgb="FF000000"/>
        <rFont val="Noto Sans CJK SC"/>
        <family val="2"/>
      </rPr>
      <t xml:space="preserve">フォルクスワーゲン（</t>
    </r>
    <r>
      <rPr>
        <sz val="10"/>
        <color rgb="FF000000"/>
        <rFont val="Arial"/>
        <family val="0"/>
        <charset val="1"/>
      </rPr>
      <t xml:space="preserve">Audi</t>
    </r>
    <r>
      <rPr>
        <sz val="10"/>
        <color rgb="FF000000"/>
        <rFont val="Noto Sans CJK SC"/>
        <family val="2"/>
      </rPr>
      <t xml:space="preserve">）</t>
    </r>
  </si>
  <si>
    <t xml:space="preserve">Audi</t>
  </si>
  <si>
    <t xml:space="preserve">A5</t>
  </si>
  <si>
    <t xml:space="preserve">新型とみられる</t>
  </si>
  <si>
    <t xml:space="preserve">TT</t>
  </si>
  <si>
    <t xml:space="preserve">生産終了車（在庫の登録）</t>
  </si>
  <si>
    <t xml:space="preserve">タイでの販売開始（現行体制）</t>
  </si>
  <si>
    <t xml:space="preserve">タイ生産・組立</t>
  </si>
  <si>
    <t xml:space="preserve">収録車種数</t>
  </si>
  <si>
    <t xml:space="preserve">長期</t>
  </si>
  <si>
    <t xml:space="preserve">タイ生産（複数工場）</t>
  </si>
  <si>
    <r>
      <rPr>
        <sz val="10"/>
        <color rgb="FF000000"/>
        <rFont val="Noto Sans CJK SC"/>
        <family val="2"/>
      </rPr>
      <t xml:space="preserve">ランキング圏外の車種（</t>
    </r>
    <r>
      <rPr>
        <sz val="10"/>
        <color rgb="FF000000"/>
        <rFont val="Arial"/>
        <family val="0"/>
        <charset val="1"/>
      </rPr>
      <t xml:space="preserve">ES</t>
    </r>
    <r>
      <rPr>
        <sz val="10"/>
        <color rgb="FF000000"/>
        <rFont val="Noto Sans CJK SC"/>
        <family val="2"/>
      </rPr>
      <t xml:space="preserve">等）は未収録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</si>
  <si>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年に中国製</t>
    </r>
    <r>
      <rPr>
        <sz val="10"/>
        <color rgb="FF000000"/>
        <rFont val="Arial"/>
        <family val="0"/>
        <charset val="1"/>
      </rPr>
      <t xml:space="preserve">EV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e:N2</t>
    </r>
    <r>
      <rPr>
        <sz val="10"/>
        <color rgb="FF000000"/>
        <rFont val="Noto Sans CJK SC"/>
        <family val="2"/>
      </rPr>
      <t xml:space="preserve">）を輸入投入</t>
    </r>
  </si>
  <si>
    <r>
      <rPr>
        <sz val="10"/>
        <color rgb="FF000000"/>
        <rFont val="Noto Sans CJK SC"/>
        <family val="2"/>
      </rPr>
      <t xml:space="preserve">タイ生産（</t>
    </r>
    <r>
      <rPr>
        <sz val="10"/>
        <color rgb="FF000000"/>
        <rFont val="Arial"/>
        <family val="0"/>
        <charset val="1"/>
      </rPr>
      <t xml:space="preserve">AutoAlliance Thailand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</si>
  <si>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年に中国製</t>
    </r>
    <r>
      <rPr>
        <sz val="10"/>
        <color rgb="FF000000"/>
        <rFont val="Arial"/>
        <family val="0"/>
        <charset val="1"/>
      </rPr>
      <t xml:space="preserve">EV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6e</t>
    </r>
    <r>
      <rPr>
        <sz val="10"/>
        <color rgb="FF000000"/>
        <rFont val="Noto Sans CJK SC"/>
        <family val="2"/>
      </rPr>
      <t xml:space="preserve">）を輸入投入</t>
    </r>
  </si>
  <si>
    <r>
      <rPr>
        <sz val="10"/>
        <color rgb="FF000000"/>
        <rFont val="Noto Sans CJK SC"/>
        <family val="2"/>
      </rPr>
      <t xml:space="preserve">タイ生産は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年末で終了、輸入へ移行</t>
    </r>
  </si>
  <si>
    <t xml:space="preserve">現地組立は終了</t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</si>
  <si>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月（販売代理店 </t>
    </r>
    <r>
      <rPr>
        <sz val="10"/>
        <color rgb="FF000000"/>
        <rFont val="Arial"/>
        <family val="0"/>
        <charset val="1"/>
      </rPr>
      <t xml:space="preserve">Rever Automotive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</si>
  <si>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タイ生産 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月〜（ラヨーン）</t>
    </r>
  </si>
  <si>
    <t xml:space="preserve">https://cnevpost.com/2026/07/14/byd-thailand-deliveries-130000-local-plant-2nd-anniversary/</t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</si>
  <si>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</t>
    </r>
  </si>
  <si>
    <t xml:space="preserve">Omoda &amp; Jaecoo</t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</si>
  <si>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月ブランド発表、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月販売開始</t>
    </r>
  </si>
  <si>
    <r>
      <rPr>
        <sz val="10"/>
        <color rgb="FF000000"/>
        <rFont val="Noto Sans CJK SC"/>
        <family val="2"/>
      </rPr>
      <t xml:space="preserve">タイ生産・組立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年〜（ラヨーン）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</si>
  <si>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</si>
  <si>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タイ組立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年〜</t>
    </r>
  </si>
  <si>
    <t xml:space="preserve">https://www.electrive.com/2026/07/13/thailand-chery-starts-locally-assembling-the-v23/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</si>
  <si>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</t>
    </r>
  </si>
  <si>
    <t xml:space="preserve">輸入（タイ組立へ移行予定）</t>
  </si>
  <si>
    <r>
      <rPr>
        <sz val="10"/>
        <color rgb="FF000000"/>
        <rFont val="Noto Sans CJK SC"/>
        <family val="2"/>
      </rPr>
      <t xml:space="preserve">集計外（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月末参入）</t>
    </r>
  </si>
  <si>
    <r>
      <rPr>
        <sz val="10"/>
        <color rgb="FF000000"/>
        <rFont val="Arial"/>
        <family val="0"/>
        <charset val="1"/>
      </rPr>
      <t xml:space="preserve">MG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</t>
    </r>
    <r>
      <rPr>
        <sz val="10"/>
        <color rgb="FF000000"/>
        <rFont val="Noto Sans CJK SC"/>
        <family val="2"/>
      </rPr>
      <t xml:space="preserve">を含む）</t>
    </r>
  </si>
  <si>
    <r>
      <rPr>
        <sz val="10"/>
        <color rgb="FF000000"/>
        <rFont val="Arial"/>
        <family val="0"/>
        <charset val="1"/>
      </rPr>
      <t xml:space="preserve">2014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SAIC Motor-CP</t>
    </r>
    <r>
      <rPr>
        <sz val="10"/>
        <color rgb="FF000000"/>
        <rFont val="Noto Sans CJK SC"/>
        <family val="2"/>
      </rPr>
      <t xml:space="preserve">）</t>
    </r>
  </si>
  <si>
    <t xml:space="preserve">タイ生産（チョンブリ）</t>
  </si>
  <si>
    <r>
      <rPr>
        <sz val="10"/>
        <color rgb="FF000000"/>
        <rFont val="Arial"/>
        <family val="0"/>
        <charset val="1"/>
      </rPr>
      <t xml:space="preserve">GWM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Haval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Ora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Tank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Wey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Poer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</si>
  <si>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2021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</si>
  <si>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タイ生産 </t>
    </r>
    <r>
      <rPr>
        <sz val="10"/>
        <color rgb="FF000000"/>
        <rFont val="Arial"/>
        <family val="0"/>
        <charset val="1"/>
      </rPr>
      <t xml:space="preserve">2021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月〜（ラヨーン、旧</t>
    </r>
    <r>
      <rPr>
        <sz val="10"/>
        <color rgb="FF000000"/>
        <rFont val="Arial"/>
        <family val="0"/>
        <charset val="1"/>
      </rPr>
      <t xml:space="preserve">GM</t>
    </r>
    <r>
      <rPr>
        <sz val="10"/>
        <color rgb="FF000000"/>
        <rFont val="Noto Sans CJK SC"/>
        <family val="2"/>
      </rPr>
      <t xml:space="preserve">工場）</t>
    </r>
  </si>
  <si>
    <r>
      <rPr>
        <sz val="10"/>
        <color rgb="FF000000"/>
        <rFont val="Arial"/>
        <family val="0"/>
        <charset val="1"/>
      </rPr>
      <t xml:space="preserve">Poer</t>
    </r>
    <r>
      <rPr>
        <sz val="10"/>
        <color rgb="FF000000"/>
        <rFont val="Noto Sans CJK SC"/>
        <family val="2"/>
      </rPr>
      <t xml:space="preserve">は販売統計上で別ブランド表記</t>
    </r>
  </si>
  <si>
    <r>
      <rPr>
        <sz val="10"/>
        <color rgb="FF000000"/>
        <rFont val="Arial"/>
        <family val="0"/>
        <charset val="1"/>
      </rPr>
      <t xml:space="preserve">GAC Aion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Hyptec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GAC</t>
    </r>
    <r>
      <rPr>
        <sz val="10"/>
        <color rgb="FF000000"/>
        <rFont val="Noto Sans CJK SC"/>
        <family val="2"/>
      </rPr>
      <t xml:space="preserve">を含む）</t>
    </r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</si>
  <si>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</si>
  <si>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Thonburi Group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</si>
  <si>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</si>
  <si>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</si>
  <si>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</si>
  <si>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タイ生産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年〜（ラヨーン）</t>
    </r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</si>
  <si>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月（ブランド発表）</t>
    </r>
  </si>
  <si>
    <t xml:space="preserve">タイ生産（ラヨーン）</t>
  </si>
  <si>
    <r>
      <rPr>
        <sz val="10"/>
        <color rgb="FF000000"/>
        <rFont val="Noto Sans CJK SC"/>
        <family val="2"/>
      </rPr>
      <t xml:space="preserve">販売統計上は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年から別ブランド表記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</si>
  <si>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</si>
  <si>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Avatr 11</t>
    </r>
    <r>
      <rPr>
        <sz val="10"/>
        <color rgb="FF000000"/>
        <rFont val="Noto Sans CJK SC"/>
        <family val="2"/>
      </rPr>
      <t xml:space="preserve">はタイ生産</t>
    </r>
  </si>
  <si>
    <t xml:space="preserve">https://paultan.org/tags/xpeng-g9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</si>
  <si>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年（要確認）</t>
    </r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</si>
  <si>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年（要確認）</t>
    </r>
  </si>
  <si>
    <r>
      <rPr>
        <sz val="10"/>
        <color rgb="FF000000"/>
        <rFont val="Noto Sans CJK SC"/>
        <family val="2"/>
      </rPr>
      <t xml:space="preserve">タイ組立あり（</t>
    </r>
    <r>
      <rPr>
        <sz val="10"/>
        <color rgb="FF000000"/>
        <rFont val="Arial"/>
        <family val="0"/>
        <charset val="1"/>
      </rPr>
      <t xml:space="preserve">Laem Chabang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</si>
  <si>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</si>
  <si>
    <t xml:space="preserve">タイ組立（要確認）</t>
  </si>
  <si>
    <r>
      <rPr>
        <sz val="10"/>
        <color rgb="FF000000"/>
        <rFont val="Noto Sans CJK SC"/>
        <family val="2"/>
      </rPr>
      <t xml:space="preserve">輸入中心（</t>
    </r>
    <r>
      <rPr>
        <sz val="10"/>
        <color rgb="FF000000"/>
        <rFont val="Arial"/>
        <family val="0"/>
        <charset val="1"/>
      </rPr>
      <t xml:space="preserve">Ioniq 5</t>
    </r>
    <r>
      <rPr>
        <sz val="10"/>
        <color rgb="FF000000"/>
        <rFont val="Noto Sans CJK SC"/>
        <family val="2"/>
      </rPr>
      <t xml:space="preserve">はタイ組立）</t>
    </r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</si>
  <si>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月</t>
    </r>
  </si>
  <si>
    <t xml:space="preserve">一部タイ組立</t>
  </si>
  <si>
    <t xml:space="preserve">一部タイ組立（ラヨーン）</t>
  </si>
  <si>
    <t xml:space="preserve">吉利傘下の欧州ブランド</t>
  </si>
  <si>
    <t xml:space="preserve">フォルクスワーゲン</t>
  </si>
  <si>
    <r>
      <rPr>
        <sz val="10"/>
        <color rgb="FF000000"/>
        <rFont val="Noto Sans CJK SC"/>
        <family val="2"/>
      </rPr>
      <t xml:space="preserve">蔚来（</t>
    </r>
    <r>
      <rPr>
        <sz val="10"/>
        <color rgb="FF000000"/>
        <rFont val="Arial"/>
        <family val="0"/>
        <charset val="1"/>
      </rPr>
      <t xml:space="preserve">NIO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</si>
  <si>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NIO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Firefly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</si>
  <si>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</t>
    </r>
  </si>
  <si>
    <t xml:space="preserve">収録外（ランキング圏外）</t>
  </si>
  <si>
    <r>
      <rPr>
        <sz val="10"/>
        <color rgb="FF000000"/>
        <rFont val="Arial"/>
        <family val="0"/>
        <charset val="1"/>
      </rPr>
      <t xml:space="preserve">Land Rover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Peugeot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Jeep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Volkswagen</t>
    </r>
  </si>
  <si>
    <t xml:space="preserve">収録外（少量）</t>
  </si>
  <si>
    <t xml:space="preserve">GM</t>
  </si>
  <si>
    <t xml:space="preserve">Chevrolet</t>
  </si>
  <si>
    <r>
      <rPr>
        <sz val="10"/>
        <color rgb="FF000000"/>
        <rFont val="Noto Sans CJK SC"/>
        <family val="2"/>
      </rPr>
      <t xml:space="preserve">収録外（</t>
    </r>
    <r>
      <rPr>
        <sz val="10"/>
        <color rgb="FF000000"/>
        <rFont val="Arial"/>
        <family val="0"/>
        <charset val="1"/>
      </rPr>
      <t xml:space="preserve">2020</t>
    </r>
    <r>
      <rPr>
        <sz val="10"/>
        <color rgb="FF000000"/>
        <rFont val="Noto Sans CJK SC"/>
        <family val="2"/>
      </rPr>
      <t xml:space="preserve">年に撤退、少量の登録のみ）</t>
    </r>
  </si>
  <si>
    <r>
      <rPr>
        <sz val="10"/>
        <color rgb="FF000000"/>
        <rFont val="Arial"/>
        <family val="0"/>
        <charset val="1"/>
      </rPr>
      <t xml:space="preserve">Foton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Farizon</t>
    </r>
  </si>
  <si>
    <t xml:space="preserve">収録外（商用車中心）</t>
  </si>
  <si>
    <r>
      <rPr>
        <sz val="10"/>
        <color rgb="FF000000"/>
        <rFont val="Noto Sans CJK SC"/>
        <family val="2"/>
      </rPr>
      <t xml:space="preserve">超高級車（</t>
    </r>
    <r>
      <rPr>
        <sz val="10"/>
        <color rgb="FF000000"/>
        <rFont val="Arial"/>
        <family val="0"/>
        <charset val="1"/>
      </rPr>
      <t xml:space="preserve">Lamborghini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Ferrari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Bentley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Rolls-Royce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Aston Martin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McLaren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Maserati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Lotus</t>
    </r>
    <r>
      <rPr>
        <sz val="10"/>
        <color rgb="FF000000"/>
        <rFont val="Noto Sans CJK SC"/>
        <family val="2"/>
      </rPr>
      <t xml:space="preserve">）</t>
    </r>
  </si>
  <si>
    <t xml:space="preserve">収録外</t>
  </si>
  <si>
    <r>
      <rPr>
        <sz val="10"/>
        <color rgb="FF000000"/>
        <rFont val="Noto Sans CJK SC"/>
        <family val="2"/>
      </rPr>
      <t xml:space="preserve">トラック・バス（</t>
    </r>
    <r>
      <rPr>
        <sz val="10"/>
        <color rgb="FF000000"/>
        <rFont val="Arial"/>
        <family val="0"/>
        <charset val="1"/>
      </rPr>
      <t xml:space="preserve">Hino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UD Trucks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King Long </t>
    </r>
    <r>
      <rPr>
        <sz val="10"/>
        <color rgb="FF000000"/>
        <rFont val="Noto Sans CJK SC"/>
        <family val="2"/>
      </rPr>
      <t xml:space="preserve">ほか）</t>
    </r>
  </si>
  <si>
    <r>
      <rPr>
        <sz val="10"/>
        <color rgb="FF000000"/>
        <rFont val="Noto Sans CJK SC"/>
        <family val="2"/>
      </rPr>
      <t xml:space="preserve">その他少量（</t>
    </r>
    <r>
      <rPr>
        <sz val="10"/>
        <color rgb="FF000000"/>
        <rFont val="Arial"/>
        <family val="0"/>
        <charset val="1"/>
      </rPr>
      <t xml:space="preserve">Mine Mobility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Linxys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Seres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Daihatsu </t>
    </r>
    <r>
      <rPr>
        <sz val="10"/>
        <color rgb="FF000000"/>
        <rFont val="Noto Sans CJK SC"/>
        <family val="2"/>
      </rPr>
      <t xml:space="preserve">ほか）</t>
    </r>
  </si>
  <si>
    <r>
      <rPr>
        <b val="true"/>
        <sz val="12"/>
        <color rgb="FF000000"/>
        <rFont val="Arial"/>
        <family val="0"/>
        <charset val="1"/>
      </rPr>
      <t xml:space="preserve">MarkLines × S&amp;P </t>
    </r>
    <r>
      <rPr>
        <b val="true"/>
        <sz val="12"/>
        <color rgb="FF000000"/>
        <rFont val="Noto Sans CJK SC"/>
        <family val="2"/>
      </rPr>
      <t xml:space="preserve">突合テンプレート</t>
    </r>
  </si>
  <si>
    <r>
      <rPr>
        <sz val="10"/>
        <color rgb="FF000000"/>
        <rFont val="Noto Sans CJK SC"/>
        <family val="2"/>
      </rPr>
      <t xml:space="preserve">灰色の列に入力し、白の列は自動計算とする。日付は各月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日で入力する（例：</t>
    </r>
    <r>
      <rPr>
        <sz val="10"/>
        <color rgb="FF000000"/>
        <rFont val="Arial"/>
        <family val="0"/>
        <charset val="1"/>
      </rPr>
      <t xml:space="preserve">2024/08/01</t>
    </r>
    <r>
      <rPr>
        <sz val="10"/>
        <color rgb="FF000000"/>
        <rFont val="Noto Sans CJK SC"/>
        <family val="2"/>
      </rPr>
      <t xml:space="preserve">）。モデル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はモデル一覧の</t>
    </r>
    <r>
      <rPr>
        <sz val="10"/>
        <color rgb="FF000000"/>
        <rFont val="Arial"/>
        <family val="0"/>
        <charset val="1"/>
      </rPr>
      <t xml:space="preserve">No.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行目は記入例（日付は架空の値）で、使用時は上書きか削除する。</t>
    </r>
  </si>
  <si>
    <r>
      <rPr>
        <sz val="10"/>
        <color rgb="FF000000"/>
        <rFont val="Noto Sans CJK SC"/>
        <family val="2"/>
      </rPr>
      <t xml:space="preserve">判定の目安：差が</t>
    </r>
    <r>
      <rPr>
        <sz val="10"/>
        <color rgb="FF000000"/>
        <rFont val="Arial"/>
        <family val="0"/>
        <charset val="1"/>
      </rPr>
      <t xml:space="preserve">±3</t>
    </r>
    <r>
      <rPr>
        <sz val="10"/>
        <color rgb="FF000000"/>
        <rFont val="Noto Sans CJK SC"/>
        <family val="2"/>
      </rPr>
      <t xml:space="preserve">か月以内なら整合。</t>
    </r>
    <r>
      <rPr>
        <sz val="10"/>
        <color rgb="FF000000"/>
        <rFont val="Arial"/>
        <family val="0"/>
        <charset val="1"/>
      </rPr>
      <t xml:space="preserve">S&amp;P</t>
    </r>
    <r>
      <rPr>
        <sz val="10"/>
        <color rgb="FF000000"/>
        <rFont val="Noto Sans CJK SC"/>
        <family val="2"/>
      </rPr>
      <t xml:space="preserve">が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か月超早い場合は</t>
    </r>
    <r>
      <rPr>
        <sz val="10"/>
        <color rgb="FF000000"/>
        <rFont val="Arial"/>
        <family val="0"/>
        <charset val="1"/>
      </rPr>
      <t xml:space="preserve">SOP</t>
    </r>
    <r>
      <rPr>
        <sz val="10"/>
        <color rgb="FF000000"/>
        <rFont val="Noto Sans CJK SC"/>
        <family val="2"/>
      </rPr>
      <t xml:space="preserve">・生産国工場基準・世代違いを、</t>
    </r>
    <r>
      <rPr>
        <sz val="10"/>
        <color rgb="FF000000"/>
        <rFont val="Arial"/>
        <family val="0"/>
        <charset val="1"/>
      </rPr>
      <t xml:space="preserve">MarkLines</t>
    </r>
    <r>
      <rPr>
        <sz val="10"/>
        <color rgb="FF000000"/>
        <rFont val="Noto Sans CJK SC"/>
        <family val="2"/>
      </rPr>
      <t xml:space="preserve">が早い場合は旧世代を含む車名対応や少量の先行登録を確認する。</t>
    </r>
  </si>
  <si>
    <r>
      <rPr>
        <b val="true"/>
        <sz val="10"/>
        <color rgb="FF000000"/>
        <rFont val="Arial"/>
        <family val="0"/>
        <charset val="1"/>
      </rPr>
      <t xml:space="preserve">MarkLines</t>
    </r>
    <r>
      <rPr>
        <b val="true"/>
        <sz val="10"/>
        <color rgb="FF000000"/>
        <rFont val="Noto Sans CJK SC"/>
        <family val="2"/>
      </rPr>
      <t xml:space="preserve">車種名</t>
    </r>
  </si>
  <si>
    <r>
      <rPr>
        <b val="true"/>
        <sz val="10"/>
        <color rgb="FF000000"/>
        <rFont val="Arial"/>
        <family val="0"/>
        <charset val="1"/>
      </rPr>
      <t xml:space="preserve">S&amp;P</t>
    </r>
    <r>
      <rPr>
        <b val="true"/>
        <sz val="10"/>
        <color rgb="FF000000"/>
        <rFont val="Noto Sans CJK SC"/>
        <family val="2"/>
      </rPr>
      <t xml:space="preserve">車名</t>
    </r>
  </si>
  <si>
    <r>
      <rPr>
        <b val="true"/>
        <sz val="10"/>
        <color rgb="FF000000"/>
        <rFont val="Arial"/>
        <family val="0"/>
        <charset val="1"/>
      </rPr>
      <t xml:space="preserve">S&amp;P</t>
    </r>
    <r>
      <rPr>
        <b val="true"/>
        <sz val="10"/>
        <color rgb="FF000000"/>
        <rFont val="Noto Sans CJK SC"/>
        <family val="2"/>
      </rPr>
      <t xml:space="preserve">世代・プログラム</t>
    </r>
  </si>
  <si>
    <r>
      <rPr>
        <b val="true"/>
        <sz val="10"/>
        <color rgb="FF000000"/>
        <rFont val="Noto Sans CJK SC"/>
        <family val="2"/>
      </rPr>
      <t xml:space="preserve">モデル</t>
    </r>
    <r>
      <rPr>
        <b val="true"/>
        <sz val="10"/>
        <color rgb="FF000000"/>
        <rFont val="Arial"/>
        <family val="0"/>
        <charset val="1"/>
      </rPr>
      <t xml:space="preserve">ID</t>
    </r>
  </si>
  <si>
    <t xml:space="preserve">対応タイプ</t>
  </si>
  <si>
    <r>
      <rPr>
        <b val="true"/>
        <sz val="10"/>
        <color rgb="FF000000"/>
        <rFont val="Arial"/>
        <family val="0"/>
        <charset val="1"/>
      </rPr>
      <t xml:space="preserve">MarkLines </t>
    </r>
    <r>
      <rPr>
        <b val="true"/>
        <sz val="10"/>
        <color rgb="FF000000"/>
        <rFont val="Noto Sans CJK SC"/>
        <family val="2"/>
      </rPr>
      <t xml:space="preserve">継続販売開始月</t>
    </r>
  </si>
  <si>
    <r>
      <rPr>
        <b val="true"/>
        <sz val="10"/>
        <color rgb="FF000000"/>
        <rFont val="Arial"/>
        <family val="0"/>
        <charset val="1"/>
      </rPr>
      <t xml:space="preserve">S&amp;P</t>
    </r>
    <r>
      <rPr>
        <b val="true"/>
        <sz val="10"/>
        <color rgb="FF000000"/>
        <rFont val="Noto Sans CJK SC"/>
        <family val="2"/>
      </rPr>
      <t xml:space="preserve">日付</t>
    </r>
  </si>
  <si>
    <r>
      <rPr>
        <b val="true"/>
        <sz val="10"/>
        <color rgb="FF000000"/>
        <rFont val="Arial"/>
        <family val="0"/>
        <charset val="1"/>
      </rPr>
      <t xml:space="preserve">S&amp;P</t>
    </r>
    <r>
      <rPr>
        <b val="true"/>
        <sz val="10"/>
        <color rgb="FF000000"/>
        <rFont val="Noto Sans CJK SC"/>
        <family val="2"/>
      </rPr>
      <t xml:space="preserve">日付の種類</t>
    </r>
  </si>
  <si>
    <t xml:space="preserve">本表のブランド</t>
  </si>
  <si>
    <t xml:space="preserve">本表のモデル</t>
  </si>
  <si>
    <t xml:space="preserve">本表の現行世代発売</t>
  </si>
  <si>
    <r>
      <rPr>
        <b val="true"/>
        <sz val="10"/>
        <color rgb="FF000000"/>
        <rFont val="Noto Sans CJK SC"/>
        <family val="2"/>
      </rPr>
      <t xml:space="preserve">差（</t>
    </r>
    <r>
      <rPr>
        <b val="true"/>
        <sz val="10"/>
        <color rgb="FF000000"/>
        <rFont val="Arial"/>
        <family val="0"/>
        <charset val="1"/>
      </rPr>
      <t xml:space="preserve">ML−S&amp;P</t>
    </r>
    <r>
      <rPr>
        <b val="true"/>
        <sz val="10"/>
        <color rgb="FF000000"/>
        <rFont val="Noto Sans CJK SC"/>
        <family val="2"/>
      </rPr>
      <t xml:space="preserve">、月）</t>
    </r>
  </si>
  <si>
    <r>
      <rPr>
        <b val="true"/>
        <sz val="10"/>
        <color rgb="FF000000"/>
        <rFont val="Noto Sans CJK SC"/>
        <family val="2"/>
      </rPr>
      <t xml:space="preserve">差（</t>
    </r>
    <r>
      <rPr>
        <b val="true"/>
        <sz val="10"/>
        <color rgb="FF000000"/>
        <rFont val="Arial"/>
        <family val="0"/>
        <charset val="1"/>
      </rPr>
      <t xml:space="preserve">ML−</t>
    </r>
    <r>
      <rPr>
        <b val="true"/>
        <sz val="10"/>
        <color rgb="FF000000"/>
        <rFont val="Noto Sans CJK SC"/>
        <family val="2"/>
      </rPr>
      <t xml:space="preserve">本表、月）</t>
    </r>
  </si>
  <si>
    <t xml:space="preserve">判定</t>
  </si>
  <si>
    <r>
      <rPr>
        <b val="true"/>
        <sz val="10"/>
        <color rgb="FF000000"/>
        <rFont val="Noto Sans CJK SC"/>
        <family val="2"/>
      </rPr>
      <t xml:space="preserve">採用</t>
    </r>
    <r>
      <rPr>
        <b val="true"/>
        <sz val="10"/>
        <color rgb="FF000000"/>
        <rFont val="Arial"/>
        <family val="0"/>
        <charset val="1"/>
      </rPr>
      <t xml:space="preserve">t0</t>
    </r>
  </si>
  <si>
    <t xml:space="preserve">採用根拠</t>
  </si>
  <si>
    <r>
      <rPr>
        <sz val="10"/>
        <color rgb="FF000000"/>
        <rFont val="Noto Sans CJK SC"/>
        <family val="2"/>
      </rPr>
      <t xml:space="preserve">（例）</t>
    </r>
    <r>
      <rPr>
        <sz val="10"/>
        <color rgb="FF000000"/>
        <rFont val="Arial"/>
        <family val="0"/>
        <charset val="1"/>
      </rPr>
      <t xml:space="preserve">Yaris ATIV</t>
    </r>
  </si>
  <si>
    <r>
      <rPr>
        <sz val="10"/>
        <color rgb="FF000000"/>
        <rFont val="Noto Sans CJK SC"/>
        <family val="2"/>
      </rPr>
      <t xml:space="preserve">（例）</t>
    </r>
    <r>
      <rPr>
        <sz val="10"/>
        <color rgb="FF000000"/>
        <rFont val="Arial"/>
        <family val="0"/>
        <charset val="1"/>
      </rPr>
      <t xml:space="preserve">Vios</t>
    </r>
  </si>
  <si>
    <r>
      <rPr>
        <sz val="10"/>
        <color rgb="FF000000"/>
        <rFont val="Noto Sans CJK SC"/>
        <family val="2"/>
      </rPr>
      <t xml:space="preserve">（例）第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世代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</si>
  <si>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対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</si>
  <si>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SOP</t>
    </r>
    <r>
      <rPr>
        <sz val="10"/>
        <color rgb="FF000000"/>
        <rFont val="Noto Sans CJK SC"/>
        <family val="2"/>
      </rPr>
      <t xml:space="preserve">（タイ工場）</t>
    </r>
  </si>
  <si>
    <r>
      <rPr>
        <sz val="10"/>
        <color rgb="FF000000"/>
        <rFont val="Noto Sans CJK SC"/>
        <family val="2"/>
      </rPr>
      <t xml:space="preserve">（例）差が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か月以内のため本表の発売月を採用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</si>
</sst>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0"/>
    <numFmt numFmtId="167" formatCode="0.0"/>
    <numFmt numFmtId="168" formatCode="yyyy/mm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Noto Sans CJK SC"/>
      <family val="2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u val="single"/>
      <sz val="10"/>
      <color rgb="FF1F4E7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00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D9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9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otorexpo.co.th/en/news/5258" TargetMode="External"/><Relationship Id="rId2" Type="http://schemas.openxmlformats.org/officeDocument/2006/relationships/hyperlink" Target="https://www.motorexpo.co.th/en/news/5258" TargetMode="External"/><Relationship Id="rId3" Type="http://schemas.openxmlformats.org/officeDocument/2006/relationships/hyperlink" Target="https://www.motorexpo.co.th/en/news/5258" TargetMode="External"/><Relationship Id="rId4" Type="http://schemas.openxmlformats.org/officeDocument/2006/relationships/hyperlink" Target="https://www.wapcar.my/news/price-equals-up-to-rm-115k-2023-toyota-yaris-cross-launched-in-thailand-15l-hybridonly-tss-74208" TargetMode="External"/><Relationship Id="rId5" Type="http://schemas.openxmlformats.org/officeDocument/2006/relationships/hyperlink" Target="https://bestsellingcarsblog.com/2015/08/thailand-july-2015-new-toyota-fortuner-and-ford-ranger-land/" TargetMode="External"/><Relationship Id="rId6" Type="http://schemas.openxmlformats.org/officeDocument/2006/relationships/hyperlink" Target="https://autobuzz.my/2024/10/11/all-new-9th-gen-toyota-camry-launched-in-thailand-with-three-variants-from-approx-rm190k/" TargetMode="External"/><Relationship Id="rId7" Type="http://schemas.openxmlformats.org/officeDocument/2006/relationships/hyperlink" Target="https://autobuzz.my/2022/02/24/2022-toyota-veloz-launched-in-thailand-to-replace-ageing-avanza/" TargetMode="External"/><Relationship Id="rId8" Type="http://schemas.openxmlformats.org/officeDocument/2006/relationships/hyperlink" Target="https://autobuzz.my/2023/08/17/all-new-toyota-alphard-vellfire-launched-in-thailand-6-seater-boss-carriers-with-2-5-litre-hybrid/" TargetMode="External"/><Relationship Id="rId9" Type="http://schemas.openxmlformats.org/officeDocument/2006/relationships/hyperlink" Target="https://autobuzz.my/2023/08/17/all-new-toyota-alphard-vellfire-launched-in-thailand-6-seater-boss-carriers-with-2-5-litre-hybrid/" TargetMode="External"/><Relationship Id="rId10" Type="http://schemas.openxmlformats.org/officeDocument/2006/relationships/hyperlink" Target="https://en.thairath.co.th/news/auto/2921594" TargetMode="External"/><Relationship Id="rId11" Type="http://schemas.openxmlformats.org/officeDocument/2006/relationships/hyperlink" Target="https://Www.wapcar.my/news/after-malaysia-thailand-finally-gets-the-allnew-2023-toyota-innova-zenix-hybrid-only-and-priced-from-rm-185k-70989" TargetMode="External"/><Relationship Id="rId12" Type="http://schemas.openxmlformats.org/officeDocument/2006/relationships/hyperlink" Target="https://carz.com.my/2022/11/toyota-bz4x-ev-exceeds-initial-pre-order-expectations-in-thailand" TargetMode="External"/><Relationship Id="rId13" Type="http://schemas.openxmlformats.org/officeDocument/2006/relationships/hyperlink" Target="https://www.thestorythailand.com/en/?p=94133" TargetMode="External"/><Relationship Id="rId14" Type="http://schemas.openxmlformats.org/officeDocument/2006/relationships/hyperlink" Target="https://www.topgear.com.ph/news/car-news/honda-accord-thailand-g11-a5100-20231002" TargetMode="External"/><Relationship Id="rId15" Type="http://schemas.openxmlformats.org/officeDocument/2006/relationships/hyperlink" Target="https://paultan.org/2026/03/27/honda-stepwgn-2026-dipamer-di-thailand-varian-spada-hibrid-2-0l-import-dari-jepun-rm216k/" TargetMode="External"/><Relationship Id="rId16" Type="http://schemas.openxmlformats.org/officeDocument/2006/relationships/hyperlink" Target="https://www.electrive.com/2026/03/05/honda-to-launch-china-focused-ens2-in-thailand-and-japan/" TargetMode="External"/><Relationship Id="rId17" Type="http://schemas.openxmlformats.org/officeDocument/2006/relationships/hyperlink" Target="https://en.thairath.co.th/news/auto/2920545" TargetMode="External"/><Relationship Id="rId18" Type="http://schemas.openxmlformats.org/officeDocument/2006/relationships/hyperlink" Target="https://c.8891.com.tw/news/19900" TargetMode="External"/><Relationship Id="rId19" Type="http://schemas.openxmlformats.org/officeDocument/2006/relationships/hyperlink" Target="https://paultan.org/tags/bangkok-motor-show-2026/page/2/" TargetMode="External"/><Relationship Id="rId20" Type="http://schemas.openxmlformats.org/officeDocument/2006/relationships/hyperlink" Target="https://paultan.org/tags/bangkok-motor-show-2026/page/2/" TargetMode="External"/><Relationship Id="rId21" Type="http://schemas.openxmlformats.org/officeDocument/2006/relationships/hyperlink" Target="https://www.wapcar.my/news/priced-from-equivalent-of-rm-220k-c28-nissan-serena-e-power-launched-in-thailand-740146" TargetMode="External"/><Relationship Id="rId22" Type="http://schemas.openxmlformats.org/officeDocument/2006/relationships/hyperlink" Target="https://paultan.org/tags/bangkok-motor-show-2026/page/2/" TargetMode="External"/><Relationship Id="rId23" Type="http://schemas.openxmlformats.org/officeDocument/2006/relationships/hyperlink" Target="https://en.thairath.co.th/news/auto/2922284" TargetMode="External"/><Relationship Id="rId24" Type="http://schemas.openxmlformats.org/officeDocument/2006/relationships/hyperlink" Target="https://www.suzuki.co.th/en/news/articles/news-223" TargetMode="External"/><Relationship Id="rId25" Type="http://schemas.openxmlformats.org/officeDocument/2006/relationships/hyperlink" Target="https://cnevpost.com/2023/07/07/byd-launches-dolphin-in-thailand/" TargetMode="External"/><Relationship Id="rId26" Type="http://schemas.openxmlformats.org/officeDocument/2006/relationships/hyperlink" Target="https://thestandard.co/?p=700454" TargetMode="External"/><Relationship Id="rId27" Type="http://schemas.openxmlformats.org/officeDocument/2006/relationships/hyperlink" Target="https://cnevpost.com/2024/08/11/byd-launches-sealion-6-dm-i-thailand/" TargetMode="External"/><Relationship Id="rId28" Type="http://schemas.openxmlformats.org/officeDocument/2006/relationships/hyperlink" Target="https://bestsellingcarsblog.com/2025/04/thailand-february-2025-toyota-hilux-revo-back-to-1/" TargetMode="External"/><Relationship Id="rId29" Type="http://schemas.openxmlformats.org/officeDocument/2006/relationships/hyperlink" Target="https://www.metal.com/en/newscontent/103475884" TargetMode="External"/><Relationship Id="rId30" Type="http://schemas.openxmlformats.org/officeDocument/2006/relationships/hyperlink" Target="https://www.marklines.com/ja/news/342393" TargetMode="External"/><Relationship Id="rId31" Type="http://schemas.openxmlformats.org/officeDocument/2006/relationships/hyperlink" Target="https://cnevpost.com/2024/09/11/byd-launches-m6-mpv-thailand/" TargetMode="External"/><Relationship Id="rId32" Type="http://schemas.openxmlformats.org/officeDocument/2006/relationships/hyperlink" Target="https://www.marklines.com/en/news/295468" TargetMode="External"/><Relationship Id="rId33" Type="http://schemas.openxmlformats.org/officeDocument/2006/relationships/hyperlink" Target="https://en.thairath.co.th/news/auto/2922024" TargetMode="External"/><Relationship Id="rId34" Type="http://schemas.openxmlformats.org/officeDocument/2006/relationships/hyperlink" Target="https://www.marklines.com/ja/news/342393" TargetMode="External"/><Relationship Id="rId35" Type="http://schemas.openxmlformats.org/officeDocument/2006/relationships/hyperlink" Target="https://www.marklines.com/ja/news/342393" TargetMode="External"/><Relationship Id="rId36" Type="http://schemas.openxmlformats.org/officeDocument/2006/relationships/hyperlink" Target="https://carnewschina.com/2024/11/03/byds-denza-officially-entered-thailand-will-launch-denza-d9-premium-mpv/" TargetMode="External"/><Relationship Id="rId37" Type="http://schemas.openxmlformats.org/officeDocument/2006/relationships/hyperlink" Target="https://www.wapcar.my/news/cheaper-than-city-hatchback-ehev-jaecoo-j5-bev-launched-in-thailand-400-km-range-211-ps-288-nm-745796" TargetMode="External"/><Relationship Id="rId38" Type="http://schemas.openxmlformats.org/officeDocument/2006/relationships/hyperlink" Target="https://proliance.co.th/?p=1958" TargetMode="External"/><Relationship Id="rId39" Type="http://schemas.openxmlformats.org/officeDocument/2006/relationships/hyperlink" Target="https://www.carlist.my/news/jaecoo-6t-reev-priced-from-equivalent-of-rm-107k-in-thailand-undercuts-bev-sibling-by-up-to-20-150231/150231/" TargetMode="External"/><Relationship Id="rId40" Type="http://schemas.openxmlformats.org/officeDocument/2006/relationships/hyperlink" Target="https://proliance.co.th/?p=1958" TargetMode="External"/><Relationship Id="rId41" Type="http://schemas.openxmlformats.org/officeDocument/2006/relationships/hyperlink" Target="https://www.chery-thailand.com/en/news/Happiness-On-The-Move-Blog" TargetMode="External"/><Relationship Id="rId42" Type="http://schemas.openxmlformats.org/officeDocument/2006/relationships/hyperlink" Target="https://www.chery-thailand.com/en/news/chery-makes-a-grand-debut-in-thailand-with-chery-thailand-grand-premiere-launch" TargetMode="External"/><Relationship Id="rId43" Type="http://schemas.openxmlformats.org/officeDocument/2006/relationships/hyperlink" Target="https://www.marklines.com/en/news/348181" TargetMode="External"/><Relationship Id="rId44" Type="http://schemas.openxmlformats.org/officeDocument/2006/relationships/hyperlink" Target="https://autobuzz.my/2025/03/28/new-mg-s5-ev-debuts-at-2025-bangkok-motor-show-zs-ev-replacement/" TargetMode="External"/><Relationship Id="rId45" Type="http://schemas.openxmlformats.org/officeDocument/2006/relationships/hyperlink" Target="https://www.marklines.com/en/news/279743" TargetMode="External"/><Relationship Id="rId46" Type="http://schemas.openxmlformats.org/officeDocument/2006/relationships/hyperlink" Target="https://www.marklines.com/ja/news/346330" TargetMode="External"/><Relationship Id="rId47" Type="http://schemas.openxmlformats.org/officeDocument/2006/relationships/hyperlink" Target="https://www.marklines.com/en/news/323625" TargetMode="External"/><Relationship Id="rId48" Type="http://schemas.openxmlformats.org/officeDocument/2006/relationships/hyperlink" Target="https://en.thairath.co.th/news/auto/2922268" TargetMode="External"/><Relationship Id="rId49" Type="http://schemas.openxmlformats.org/officeDocument/2006/relationships/hyperlink" Target="https://www.motorexpo.co.th/en/news/5236" TargetMode="External"/><Relationship Id="rId50" Type="http://schemas.openxmlformats.org/officeDocument/2006/relationships/hyperlink" Target="https://wapcar.my/news/geely-breaking-its-promise-to-make-malaysia-its-rhd-hub-launches-chinamade-geely-ex5-in-thailand-83033" TargetMode="External"/><Relationship Id="rId51" Type="http://schemas.openxmlformats.org/officeDocument/2006/relationships/hyperlink" Target="https://cnevpost.com/2025/08/19/zeekr-launches-7x-thailand/" TargetMode="External"/><Relationship Id="rId52" Type="http://schemas.openxmlformats.org/officeDocument/2006/relationships/hyperlink" Target="https://cnevpost.com/2025/08/19/zeekr-launches-7x-thailand/" TargetMode="External"/><Relationship Id="rId53" Type="http://schemas.openxmlformats.org/officeDocument/2006/relationships/hyperlink" Target="https://cnevpost.com/2025/08/19/zeekr-launches-7x-thailand/" TargetMode="External"/><Relationship Id="rId54" Type="http://schemas.openxmlformats.org/officeDocument/2006/relationships/hyperlink" Target="https://autobuzz.my/2024/11/01/land-of-smiles-gets-its-first-electric-pickup-truck-with-the-launch-of-the-riddara-rd6-in-thailand/" TargetMode="External"/><Relationship Id="rId55" Type="http://schemas.openxmlformats.org/officeDocument/2006/relationships/hyperlink" Target="https://en.thairath.co.th/news/auto/2954417" TargetMode="External"/><Relationship Id="rId56" Type="http://schemas.openxmlformats.org/officeDocument/2006/relationships/hyperlink" Target="https://en.thairath.co.th/news/auto/2931070" TargetMode="External"/><Relationship Id="rId57" Type="http://schemas.openxmlformats.org/officeDocument/2006/relationships/hyperlink" Target="https://www.marklines.com/en/news/295507" TargetMode="External"/><Relationship Id="rId58" Type="http://schemas.openxmlformats.org/officeDocument/2006/relationships/hyperlink" Target="https://cnevpost.com/2021/10/30/great-wall-motors-ora-good-cat-officially-launched-in-thailand-priced-from-about-29700" TargetMode="External"/><Relationship Id="rId59" Type="http://schemas.openxmlformats.org/officeDocument/2006/relationships/hyperlink" Target="https://cnevpost.com/2021/10/19/great-wall-motor-says-ora-good-cat-gets-over-6000-orders-within-48-hours-of-pre-sale-in-thailand" TargetMode="External"/><Relationship Id="rId60" Type="http://schemas.openxmlformats.org/officeDocument/2006/relationships/hyperlink" Target="https://www.marklines.com/en/news/295507" TargetMode="External"/><Relationship Id="rId61" Type="http://schemas.openxmlformats.org/officeDocument/2006/relationships/hyperlink" Target="https://carnewschina.com/2025/11/29/gwms-wey-g9-hi4-rhd-mpv-launched-in-thailand-priced-at-2-349-million-baht" TargetMode="External"/><Relationship Id="rId62" Type="http://schemas.openxmlformats.org/officeDocument/2006/relationships/hyperlink" Target="https://autonews.gasgoo.com/articles/news/gac-puts-aion-ut-model-onto-thai-market-70037913" TargetMode="External"/><Relationship Id="rId63" Type="http://schemas.openxmlformats.org/officeDocument/2006/relationships/hyperlink" Target="https://autonews.gasgoo.com/china_news/70035792.html" TargetMode="External"/><Relationship Id="rId64" Type="http://schemas.openxmlformats.org/officeDocument/2006/relationships/hyperlink" Target="https://paultan.org/topics/cars/china/gac/" TargetMode="External"/><Relationship Id="rId65" Type="http://schemas.openxmlformats.org/officeDocument/2006/relationships/hyperlink" Target="https://carnewschina.com/2023/09/09/gac-aion-y-plus-all-electric-suv-launched-in-thailand-price-starts-at-29900-usd/" TargetMode="External"/><Relationship Id="rId66" Type="http://schemas.openxmlformats.org/officeDocument/2006/relationships/hyperlink" Target="https://www.motorexpo.co.th/en/news/5251" TargetMode="External"/><Relationship Id="rId67" Type="http://schemas.openxmlformats.org/officeDocument/2006/relationships/hyperlink" Target="https://www.wapcar.my/news/bound-for-malaysia-deepal-s05-launched-in-thailand-in-bev-and-reev-guises-from-equivalent-of-rm-104k-740152" TargetMode="External"/><Relationship Id="rId68" Type="http://schemas.openxmlformats.org/officeDocument/2006/relationships/hyperlink" Target="https://cnevpost.com/2023/11/30/deepal-starts-selling-2-ev-models-thailand/" TargetMode="External"/><Relationship Id="rId69" Type="http://schemas.openxmlformats.org/officeDocument/2006/relationships/hyperlink" Target="https://cnevpost.com/2023/11/30/deepal-starts-selling-2-ev-models-thailand/" TargetMode="External"/><Relationship Id="rId70" Type="http://schemas.openxmlformats.org/officeDocument/2006/relationships/hyperlink" Target="https://en.thairath.co.th/news/auto/2910923" TargetMode="External"/><Relationship Id="rId71" Type="http://schemas.openxmlformats.org/officeDocument/2006/relationships/hyperlink" Target="https://en.thairath.co.th/news/auto/2910923" TargetMode="External"/><Relationship Id="rId72" Type="http://schemas.openxmlformats.org/officeDocument/2006/relationships/hyperlink" Target="https://carnewschina.com/2026/05/29/changans-atto-2-rival-nevo-q05-launches-in-thailand-starting-from-19400-usd/" TargetMode="External"/><Relationship Id="rId73" Type="http://schemas.openxmlformats.org/officeDocument/2006/relationships/hyperlink" Target="https://cnevpost.com/2026/01/28/avatr-rolls-off-1st-right-hand-drive-07-suvs/" TargetMode="External"/><Relationship Id="rId74" Type="http://schemas.openxmlformats.org/officeDocument/2006/relationships/hyperlink" Target="https://en.thairath.co.th/news/auto/2904026" TargetMode="External"/><Relationship Id="rId75" Type="http://schemas.openxmlformats.org/officeDocument/2006/relationships/hyperlink" Target="https://www.wapcar.my/news/xpeng-g6-bev-launched-in-thailand-from-an-equivalent-of-rm-183k-81378" TargetMode="External"/><Relationship Id="rId76" Type="http://schemas.openxmlformats.org/officeDocument/2006/relationships/hyperlink" Target="https://www.carz.com.my/2024/11/xpeng-x9-debuts-in-thailand-from-rm361k-malaysia-soon?amp=1" TargetMode="External"/><Relationship Id="rId77" Type="http://schemas.openxmlformats.org/officeDocument/2006/relationships/hyperlink" Target="https://autobuzz.my/2025/10/13/leapmotor-b10-debuts-in-thailand-same-power-as-c10-smaller-package/" TargetMode="External"/><Relationship Id="rId78" Type="http://schemas.openxmlformats.org/officeDocument/2006/relationships/hyperlink" Target="https://autolifethailand.tv/leapmotor-b10-ev-bev-coming-thailand-oct2025/" TargetMode="External"/><Relationship Id="rId79" Type="http://schemas.openxmlformats.org/officeDocument/2006/relationships/hyperlink" Target="https://en.thairath.co.th/news/auto/2918624" TargetMode="External"/><Relationship Id="rId80" Type="http://schemas.openxmlformats.org/officeDocument/2006/relationships/hyperlink" Target="https://en.thairath.co.th/news/auto/2925570" TargetMode="External"/><Relationship Id="rId81" Type="http://schemas.openxmlformats.org/officeDocument/2006/relationships/hyperlink" Target="https://autolifethailand.tv/?p=51559" TargetMode="External"/><Relationship Id="rId82" Type="http://schemas.openxmlformats.org/officeDocument/2006/relationships/hyperlink" Target="https://autolifethailand.tv/?p=51559" TargetMode="External"/><Relationship Id="rId83" Type="http://schemas.openxmlformats.org/officeDocument/2006/relationships/hyperlink" Target="https://autolifethailand.tv/?p=51559" TargetMode="External"/><Relationship Id="rId84" Type="http://schemas.openxmlformats.org/officeDocument/2006/relationships/hyperlink" Target="https://www.marketingoops.com/?p=337454" TargetMode="External"/><Relationship Id="rId85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nevpost.com/2026/07/14/byd-thailand-deliveries-130000-local-plant-2nd-anniversary/" TargetMode="External"/><Relationship Id="rId2" Type="http://schemas.openxmlformats.org/officeDocument/2006/relationships/hyperlink" Target="https://carnewschina.com/2024/11/03/byds-denza-officially-entered-thailand-will-launch-denza-d9-premium-mpv/" TargetMode="External"/><Relationship Id="rId3" Type="http://schemas.openxmlformats.org/officeDocument/2006/relationships/hyperlink" Target="https://proliance.co.th/?p=1958" TargetMode="External"/><Relationship Id="rId4" Type="http://schemas.openxmlformats.org/officeDocument/2006/relationships/hyperlink" Target="https://www.electrive.com/2026/07/13/thailand-chery-starts-locally-assembling-the-v23/" TargetMode="External"/><Relationship Id="rId5" Type="http://schemas.openxmlformats.org/officeDocument/2006/relationships/hyperlink" Target="https://www.marklines.com/en/news/348181" TargetMode="External"/><Relationship Id="rId6" Type="http://schemas.openxmlformats.org/officeDocument/2006/relationships/hyperlink" Target="https://cnevpost.com/2021/10/19/great-wall-motor-says-ora-good-cat-gets-over-6000-orders-within-48-hours-of-pre-sale-in-thailand" TargetMode="External"/><Relationship Id="rId7" Type="http://schemas.openxmlformats.org/officeDocument/2006/relationships/hyperlink" Target="https://autonews.gasgoo.com/china_news/70035792.html" TargetMode="External"/><Relationship Id="rId8" Type="http://schemas.openxmlformats.org/officeDocument/2006/relationships/hyperlink" Target="https://wapcar.my/news/geely-breaking-its-promise-to-make-malaysia-its-rhd-hub-launches-chinamade-geely-ex5-in-thailand-83033" TargetMode="External"/><Relationship Id="rId9" Type="http://schemas.openxmlformats.org/officeDocument/2006/relationships/hyperlink" Target="https://cnevpost.com/2025/08/19/zeekr-launches-7x-thailand/" TargetMode="External"/><Relationship Id="rId10" Type="http://schemas.openxmlformats.org/officeDocument/2006/relationships/hyperlink" Target="https://autobuzz.my/2024/11/01/land-of-smiles-gets-its-first-electric-pickup-truck-with-the-launch-of-the-riddara-rd6-in-thailand/" TargetMode="External"/><Relationship Id="rId11" Type="http://schemas.openxmlformats.org/officeDocument/2006/relationships/hyperlink" Target="https://cnevpost.com/2023/11/30/deepal-starts-selling-2-ev-models-thailand/" TargetMode="External"/><Relationship Id="rId12" Type="http://schemas.openxmlformats.org/officeDocument/2006/relationships/hyperlink" Target="https://carnewschina.com/2026/05/29/changans-atto-2-rival-nevo-q05-launches-in-thailand-starting-from-19400-usd/" TargetMode="External"/><Relationship Id="rId13" Type="http://schemas.openxmlformats.org/officeDocument/2006/relationships/hyperlink" Target="https://cnevpost.com/2026/01/28/avatr-rolls-off-1st-right-hand-drive-07-suvs/" TargetMode="External"/><Relationship Id="rId14" Type="http://schemas.openxmlformats.org/officeDocument/2006/relationships/hyperlink" Target="https://paultan.org/tags/xpeng-g9" TargetMode="External"/><Relationship Id="rId15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46301</v>
      </c>
    </row>
    <row r="4" customFormat="false" ht="15" hidden="false" customHeight="false" outlineLevel="0" collapsed="false">
      <c r="A4" s="2" t="s">
        <v>2</v>
      </c>
      <c r="B4" s="4" t="n">
        <v>46296</v>
      </c>
    </row>
    <row r="5" customFormat="false" ht="15" hidden="false" customHeight="false" outlineLevel="0" collapsed="false">
      <c r="A5" s="2" t="s">
        <v>3</v>
      </c>
      <c r="B5" s="5" t="n">
        <f aca="false">COUNT(モデル一覧!A:A)</f>
        <v>204</v>
      </c>
    </row>
    <row r="7" customFormat="false" ht="15" hidden="false" customHeight="false" outlineLevel="0" collapsed="false">
      <c r="A7" s="2" t="s">
        <v>4</v>
      </c>
      <c r="B7" s="6" t="s">
        <v>5</v>
      </c>
    </row>
    <row r="8" customFormat="false" ht="15" hidden="false" customHeight="false" outlineLevel="0" collapsed="false">
      <c r="B8" s="6" t="s">
        <v>6</v>
      </c>
    </row>
    <row r="9" customFormat="false" ht="15" hidden="false" customHeight="false" outlineLevel="0" collapsed="false">
      <c r="B9" s="7" t="s">
        <v>7</v>
      </c>
    </row>
    <row r="11" customFormat="false" ht="29.85" hidden="false" customHeight="false" outlineLevel="0" collapsed="false">
      <c r="A11" s="2" t="s">
        <v>8</v>
      </c>
      <c r="B11" s="7" t="s">
        <v>9</v>
      </c>
    </row>
    <row r="12" customFormat="false" ht="29.85" hidden="false" customHeight="false" outlineLevel="0" collapsed="false">
      <c r="B12" s="7" t="s">
        <v>10</v>
      </c>
    </row>
    <row r="13" customFormat="false" ht="15" hidden="false" customHeight="false" outlineLevel="0" collapsed="false">
      <c r="B13" s="7" t="s">
        <v>11</v>
      </c>
    </row>
    <row r="14" customFormat="false" ht="15" hidden="false" customHeight="false" outlineLevel="0" collapsed="false">
      <c r="B14" s="7" t="s">
        <v>12</v>
      </c>
    </row>
    <row r="15" customFormat="false" ht="15" hidden="false" customHeight="false" outlineLevel="0" collapsed="false">
      <c r="B15" s="6" t="s">
        <v>13</v>
      </c>
    </row>
    <row r="17" customFormat="false" ht="15" hidden="false" customHeight="false" outlineLevel="0" collapsed="false">
      <c r="A17" s="2" t="s">
        <v>14</v>
      </c>
      <c r="B17" s="6" t="s">
        <v>15</v>
      </c>
    </row>
    <row r="18" customFormat="false" ht="15" hidden="false" customHeight="false" outlineLevel="0" collapsed="false">
      <c r="B18" s="6" t="s">
        <v>16</v>
      </c>
    </row>
    <row r="19" customFormat="false" ht="15" hidden="false" customHeight="false" outlineLevel="0" collapsed="false">
      <c r="B19" s="6" t="s">
        <v>17</v>
      </c>
    </row>
    <row r="21" customFormat="false" ht="29.85" hidden="false" customHeight="false" outlineLevel="0" collapsed="false">
      <c r="A21" s="2" t="s">
        <v>18</v>
      </c>
      <c r="B21" s="6" t="s">
        <v>19</v>
      </c>
    </row>
    <row r="22" customFormat="false" ht="15" hidden="false" customHeight="false" outlineLevel="0" collapsed="false">
      <c r="B22" s="6" t="s">
        <v>20</v>
      </c>
    </row>
    <row r="23" customFormat="false" ht="29.85" hidden="false" customHeight="false" outlineLevel="0" collapsed="false">
      <c r="B23" s="6" t="s">
        <v>21</v>
      </c>
    </row>
    <row r="24" customFormat="false" ht="29.85" hidden="false" customHeight="false" outlineLevel="0" collapsed="false">
      <c r="B24" s="6" t="s">
        <v>22</v>
      </c>
    </row>
    <row r="26" customFormat="false" ht="26.85" hidden="false" customHeight="false" outlineLevel="0" collapsed="false">
      <c r="A26" s="2" t="s">
        <v>23</v>
      </c>
      <c r="B26" s="7" t="s">
        <v>24</v>
      </c>
    </row>
    <row r="27" customFormat="false" ht="15" hidden="false" customHeight="false" outlineLevel="0" collapsed="false">
      <c r="B27" s="7" t="s">
        <v>25</v>
      </c>
    </row>
    <row r="29" customFormat="false" ht="15" hidden="false" customHeight="false" outlineLevel="0" collapsed="false">
      <c r="A29" s="2" t="s">
        <v>26</v>
      </c>
      <c r="B29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1" min="10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6" min="15" style="0" width="9"/>
    <col collapsed="false" customWidth="true" hidden="false" outlineLevel="0" max="17" min="17" style="0" width="22"/>
    <col collapsed="false" customWidth="true" hidden="false" outlineLevel="0" max="18" min="18" style="0" width="30"/>
    <col collapsed="false" customWidth="true" hidden="false" outlineLevel="0" max="19" min="19" style="0" width="5"/>
    <col collapsed="false" customWidth="true" hidden="false" outlineLevel="0" max="20" min="20" style="0" width="42"/>
    <col collapsed="false" customWidth="true" hidden="false" outlineLevel="0" max="21" min="21" style="0" width="36"/>
  </cols>
  <sheetData>
    <row r="1" customFormat="false" ht="42" hidden="false" customHeight="true" outlineLevel="0" collapsed="false">
      <c r="A1" s="8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8" t="s">
        <v>44</v>
      </c>
      <c r="R1" s="9" t="s">
        <v>18</v>
      </c>
      <c r="S1" s="9" t="s">
        <v>14</v>
      </c>
      <c r="T1" s="9" t="s">
        <v>45</v>
      </c>
      <c r="U1" s="9" t="s">
        <v>46</v>
      </c>
    </row>
    <row r="2" customFormat="false" ht="41" hidden="false" customHeight="false" outlineLevel="0" collapsed="false">
      <c r="A2" s="10" t="n">
        <v>1</v>
      </c>
      <c r="B2" s="11" t="s">
        <v>47</v>
      </c>
      <c r="C2" s="11" t="s">
        <v>48</v>
      </c>
      <c r="D2" s="12" t="s">
        <v>49</v>
      </c>
      <c r="E2" s="12" t="s">
        <v>50</v>
      </c>
      <c r="F2" s="12" t="s">
        <v>51</v>
      </c>
      <c r="G2" s="11" t="s">
        <v>52</v>
      </c>
      <c r="H2" s="11" t="s">
        <v>53</v>
      </c>
      <c r="I2" s="11" t="s">
        <v>54</v>
      </c>
      <c r="J2" s="13" t="n">
        <v>2025</v>
      </c>
      <c r="K2" s="13" t="n">
        <v>2025</v>
      </c>
      <c r="L2" s="13" t="n">
        <v>11</v>
      </c>
      <c r="M2" s="10" t="n">
        <v>2015</v>
      </c>
      <c r="N2" s="12" t="s">
        <v>55</v>
      </c>
      <c r="O2" s="14" t="n">
        <f aca="false">IF(K2="","",ROUND((説明!$B$4-DATE(K2,IF(L2="",7,L2),1))/365.25,1))</f>
        <v>0.9</v>
      </c>
      <c r="P2" s="14" t="n">
        <f aca="false">IF(J2="","",IF(AND(J2=K2,L2&lt;&gt;""),O2,ROUND((説明!$B$4-DATE(J2,7,1))/365.25,1)))</f>
        <v>0.9</v>
      </c>
      <c r="Q2" s="12" t="s">
        <v>56</v>
      </c>
      <c r="R2" s="11" t="s">
        <v>57</v>
      </c>
      <c r="S2" s="10" t="s">
        <v>58</v>
      </c>
      <c r="T2" s="15" t="s">
        <v>59</v>
      </c>
      <c r="U2" s="12" t="s">
        <v>60</v>
      </c>
    </row>
    <row r="3" customFormat="false" ht="29.85" hidden="false" customHeight="false" outlineLevel="0" collapsed="false">
      <c r="A3" s="10" t="n">
        <v>2</v>
      </c>
      <c r="B3" s="11" t="s">
        <v>47</v>
      </c>
      <c r="C3" s="11" t="s">
        <v>48</v>
      </c>
      <c r="D3" s="12" t="s">
        <v>49</v>
      </c>
      <c r="E3" s="12" t="s">
        <v>61</v>
      </c>
      <c r="F3" s="12" t="s">
        <v>62</v>
      </c>
      <c r="G3" s="11" t="s">
        <v>52</v>
      </c>
      <c r="H3" s="11" t="s">
        <v>63</v>
      </c>
      <c r="I3" s="11" t="s">
        <v>54</v>
      </c>
      <c r="J3" s="13" t="n">
        <v>2015</v>
      </c>
      <c r="K3" s="13" t="n">
        <v>2015</v>
      </c>
      <c r="L3" s="13" t="n">
        <v>5</v>
      </c>
      <c r="M3" s="10" t="n">
        <v>2004</v>
      </c>
      <c r="N3" s="12" t="s">
        <v>64</v>
      </c>
      <c r="O3" s="14" t="n">
        <f aca="false">IF(K3="","",ROUND((説明!$B$4-DATE(K3,IF(L3="",7,L3),1))/365.25,1))</f>
        <v>11.4</v>
      </c>
      <c r="P3" s="14" t="n">
        <f aca="false">IF(J3="","",IF(AND(J3=K3,L3&lt;&gt;""),O3,ROUND((説明!$B$4-DATE(J3,7,1))/365.25,1)))</f>
        <v>11.4</v>
      </c>
      <c r="Q3" s="12" t="s">
        <v>65</v>
      </c>
      <c r="R3" s="11" t="s">
        <v>66</v>
      </c>
      <c r="S3" s="10" t="s">
        <v>67</v>
      </c>
      <c r="T3" s="12" t="s">
        <v>68</v>
      </c>
      <c r="U3" s="11" t="s">
        <v>69</v>
      </c>
    </row>
    <row r="4" customFormat="false" ht="29.85" hidden="false" customHeight="false" outlineLevel="0" collapsed="false">
      <c r="A4" s="10" t="n">
        <v>3</v>
      </c>
      <c r="B4" s="11" t="s">
        <v>47</v>
      </c>
      <c r="C4" s="11" t="s">
        <v>48</v>
      </c>
      <c r="D4" s="12" t="s">
        <v>49</v>
      </c>
      <c r="E4" s="12" t="s">
        <v>70</v>
      </c>
      <c r="F4" s="12" t="s">
        <v>71</v>
      </c>
      <c r="G4" s="11" t="s">
        <v>72</v>
      </c>
      <c r="H4" s="11" t="s">
        <v>73</v>
      </c>
      <c r="I4" s="11" t="s">
        <v>54</v>
      </c>
      <c r="J4" s="13" t="n">
        <v>2023</v>
      </c>
      <c r="K4" s="13" t="n">
        <v>2023</v>
      </c>
      <c r="L4" s="13" t="n">
        <v>11</v>
      </c>
      <c r="M4" s="16" t="s">
        <v>74</v>
      </c>
      <c r="N4" s="12" t="s">
        <v>75</v>
      </c>
      <c r="O4" s="14" t="n">
        <f aca="false">IF(K4="","",ROUND((説明!$B$4-DATE(K4,IF(L4="",7,L4),1))/365.25,1))</f>
        <v>2.9</v>
      </c>
      <c r="P4" s="14" t="n">
        <f aca="false">IF(J4="","",IF(AND(J4=K4,L4&lt;&gt;""),O4,ROUND((説明!$B$4-DATE(J4,7,1))/365.25,1)))</f>
        <v>2.9</v>
      </c>
      <c r="Q4" s="12" t="s">
        <v>65</v>
      </c>
      <c r="R4" s="11" t="s">
        <v>76</v>
      </c>
      <c r="S4" s="10" t="s">
        <v>67</v>
      </c>
      <c r="T4" s="15" t="s">
        <v>59</v>
      </c>
      <c r="U4" s="11" t="s">
        <v>77</v>
      </c>
    </row>
    <row r="5" customFormat="false" ht="15" hidden="false" customHeight="false" outlineLevel="0" collapsed="false">
      <c r="A5" s="10" t="n">
        <v>4</v>
      </c>
      <c r="B5" s="11" t="s">
        <v>47</v>
      </c>
      <c r="C5" s="11" t="s">
        <v>48</v>
      </c>
      <c r="D5" s="12" t="s">
        <v>49</v>
      </c>
      <c r="E5" s="12" t="s">
        <v>78</v>
      </c>
      <c r="F5" s="12" t="s">
        <v>79</v>
      </c>
      <c r="G5" s="11" t="s">
        <v>80</v>
      </c>
      <c r="H5" s="11" t="s">
        <v>81</v>
      </c>
      <c r="I5" s="11" t="s">
        <v>54</v>
      </c>
      <c r="J5" s="13" t="n">
        <v>2017</v>
      </c>
      <c r="K5" s="13" t="n">
        <v>2022</v>
      </c>
      <c r="L5" s="13" t="n">
        <v>8</v>
      </c>
      <c r="M5" s="10" t="n">
        <v>2017</v>
      </c>
      <c r="N5" s="12" t="s">
        <v>82</v>
      </c>
      <c r="O5" s="14" t="n">
        <f aca="false">IF(K5="","",ROUND((説明!$B$4-DATE(K5,IF(L5="",7,L5),1))/365.25,1))</f>
        <v>4.2</v>
      </c>
      <c r="P5" s="14" t="n">
        <f aca="false">IF(J5="","",IF(AND(J5=K5,L5&lt;&gt;""),O5,ROUND((説明!$B$4-DATE(J5,7,1))/365.25,1)))</f>
        <v>9.3</v>
      </c>
      <c r="Q5" s="12" t="s">
        <v>83</v>
      </c>
      <c r="R5" s="11" t="s">
        <v>84</v>
      </c>
      <c r="S5" s="10" t="s">
        <v>67</v>
      </c>
      <c r="T5" s="15" t="s">
        <v>59</v>
      </c>
      <c r="U5" s="11" t="s">
        <v>85</v>
      </c>
    </row>
    <row r="6" customFormat="false" ht="29.85" hidden="false" customHeight="false" outlineLevel="0" collapsed="false">
      <c r="A6" s="10" t="n">
        <v>5</v>
      </c>
      <c r="B6" s="11" t="s">
        <v>47</v>
      </c>
      <c r="C6" s="11" t="s">
        <v>48</v>
      </c>
      <c r="D6" s="12" t="s">
        <v>49</v>
      </c>
      <c r="E6" s="12" t="s">
        <v>86</v>
      </c>
      <c r="F6" s="12" t="s">
        <v>87</v>
      </c>
      <c r="G6" s="12" t="s">
        <v>88</v>
      </c>
      <c r="H6" s="12" t="s">
        <v>89</v>
      </c>
      <c r="I6" s="11" t="s">
        <v>90</v>
      </c>
      <c r="J6" s="13" t="n">
        <v>2023</v>
      </c>
      <c r="K6" s="13" t="n">
        <v>2023</v>
      </c>
      <c r="L6" s="13" t="n">
        <v>10</v>
      </c>
      <c r="M6" s="16" t="s">
        <v>74</v>
      </c>
      <c r="N6" s="12"/>
      <c r="O6" s="14" t="n">
        <f aca="false">IF(K6="","",ROUND((説明!$B$4-DATE(K6,IF(L6="",7,L6),1))/365.25,1))</f>
        <v>3</v>
      </c>
      <c r="P6" s="14" t="n">
        <f aca="false">IF(J6="","",IF(AND(J6=K6,L6&lt;&gt;""),O6,ROUND((説明!$B$4-DATE(J6,7,1))/365.25,1)))</f>
        <v>3</v>
      </c>
      <c r="Q6" s="12" t="s">
        <v>83</v>
      </c>
      <c r="R6" s="12"/>
      <c r="S6" s="10" t="s">
        <v>58</v>
      </c>
      <c r="T6" s="15" t="s">
        <v>91</v>
      </c>
      <c r="U6" s="12" t="s">
        <v>92</v>
      </c>
    </row>
    <row r="7" customFormat="false" ht="15" hidden="false" customHeight="false" outlineLevel="0" collapsed="false">
      <c r="A7" s="10" t="n">
        <v>6</v>
      </c>
      <c r="B7" s="11" t="s">
        <v>47</v>
      </c>
      <c r="C7" s="11" t="s">
        <v>48</v>
      </c>
      <c r="D7" s="12" t="s">
        <v>49</v>
      </c>
      <c r="E7" s="12" t="s">
        <v>93</v>
      </c>
      <c r="F7" s="12"/>
      <c r="G7" s="12" t="s">
        <v>88</v>
      </c>
      <c r="H7" s="11" t="s">
        <v>81</v>
      </c>
      <c r="I7" s="11" t="s">
        <v>54</v>
      </c>
      <c r="J7" s="13" t="n">
        <v>2020</v>
      </c>
      <c r="K7" s="13" t="n">
        <v>2020</v>
      </c>
      <c r="L7" s="13" t="n">
        <v>7</v>
      </c>
      <c r="M7" s="16" t="s">
        <v>74</v>
      </c>
      <c r="N7" s="12"/>
      <c r="O7" s="14" t="n">
        <f aca="false">IF(K7="","",ROUND((説明!$B$4-DATE(K7,IF(L7="",7,L7),1))/365.25,1))</f>
        <v>6.3</v>
      </c>
      <c r="P7" s="14" t="n">
        <f aca="false">IF(J7="","",IF(AND(J7=K7,L7&lt;&gt;""),O7,ROUND((説明!$B$4-DATE(J7,7,1))/365.25,1)))</f>
        <v>6.3</v>
      </c>
      <c r="Q7" s="12" t="s">
        <v>83</v>
      </c>
      <c r="R7" s="12"/>
      <c r="S7" s="10" t="s">
        <v>67</v>
      </c>
      <c r="T7" s="12" t="s">
        <v>68</v>
      </c>
      <c r="U7" s="11" t="s">
        <v>94</v>
      </c>
    </row>
    <row r="8" customFormat="false" ht="29.85" hidden="false" customHeight="false" outlineLevel="0" collapsed="false">
      <c r="A8" s="10" t="n">
        <v>7</v>
      </c>
      <c r="B8" s="11" t="s">
        <v>47</v>
      </c>
      <c r="C8" s="11" t="s">
        <v>48</v>
      </c>
      <c r="D8" s="12" t="s">
        <v>49</v>
      </c>
      <c r="E8" s="12" t="s">
        <v>95</v>
      </c>
      <c r="F8" s="12" t="s">
        <v>96</v>
      </c>
      <c r="G8" s="12" t="s">
        <v>97</v>
      </c>
      <c r="H8" s="11" t="s">
        <v>63</v>
      </c>
      <c r="I8" s="11" t="s">
        <v>54</v>
      </c>
      <c r="J8" s="13" t="n">
        <v>2004</v>
      </c>
      <c r="K8" s="13" t="n">
        <v>2015</v>
      </c>
      <c r="L8" s="13" t="n">
        <v>7</v>
      </c>
      <c r="M8" s="10" t="n">
        <v>2004</v>
      </c>
      <c r="N8" s="12" t="s">
        <v>98</v>
      </c>
      <c r="O8" s="14" t="n">
        <f aca="false">IF(K8="","",ROUND((説明!$B$4-DATE(K8,IF(L8="",7,L8),1))/365.25,1))</f>
        <v>11.3</v>
      </c>
      <c r="P8" s="14" t="n">
        <f aca="false">IF(J8="","",IF(AND(J8=K8,L8&lt;&gt;""),O8,ROUND((説明!$B$4-DATE(J8,7,1))/365.25,1)))</f>
        <v>22.3</v>
      </c>
      <c r="Q8" s="12" t="s">
        <v>99</v>
      </c>
      <c r="R8" s="12"/>
      <c r="S8" s="10" t="s">
        <v>67</v>
      </c>
      <c r="T8" s="15" t="s">
        <v>100</v>
      </c>
      <c r="U8" s="11" t="s">
        <v>101</v>
      </c>
    </row>
    <row r="9" customFormat="false" ht="29.85" hidden="false" customHeight="false" outlineLevel="0" collapsed="false">
      <c r="A9" s="10" t="n">
        <v>8</v>
      </c>
      <c r="B9" s="11" t="s">
        <v>47</v>
      </c>
      <c r="C9" s="11" t="s">
        <v>48</v>
      </c>
      <c r="D9" s="12" t="s">
        <v>49</v>
      </c>
      <c r="E9" s="12" t="s">
        <v>102</v>
      </c>
      <c r="F9" s="12" t="s">
        <v>103</v>
      </c>
      <c r="G9" s="11" t="s">
        <v>104</v>
      </c>
      <c r="H9" s="11" t="s">
        <v>63</v>
      </c>
      <c r="I9" s="11" t="s">
        <v>105</v>
      </c>
      <c r="J9" s="13"/>
      <c r="K9" s="13" t="n">
        <v>2019</v>
      </c>
      <c r="L9" s="13"/>
      <c r="M9" s="10"/>
      <c r="N9" s="12"/>
      <c r="O9" s="14" t="n">
        <f aca="false">IF(K9="","",ROUND((説明!$B$4-DATE(K9,IF(L9="",7,L9),1))/365.25,1))</f>
        <v>7.3</v>
      </c>
      <c r="P9" s="14" t="str">
        <f aca="false">IF(J9="","",IF(AND(J9=K9,L9&lt;&gt;""),O9,ROUND((説明!$B$4-DATE(J9,7,1))/365.25,1)))</f>
        <v/>
      </c>
      <c r="Q9" s="12" t="s">
        <v>106</v>
      </c>
      <c r="R9" s="12" t="s">
        <v>107</v>
      </c>
      <c r="S9" s="10" t="s">
        <v>108</v>
      </c>
      <c r="T9" s="12" t="s">
        <v>68</v>
      </c>
      <c r="U9" s="12" t="s">
        <v>109</v>
      </c>
    </row>
    <row r="10" customFormat="false" ht="29.85" hidden="false" customHeight="false" outlineLevel="0" collapsed="false">
      <c r="A10" s="10" t="n">
        <v>9</v>
      </c>
      <c r="B10" s="11" t="s">
        <v>47</v>
      </c>
      <c r="C10" s="11" t="s">
        <v>48</v>
      </c>
      <c r="D10" s="12" t="s">
        <v>49</v>
      </c>
      <c r="E10" s="12" t="s">
        <v>110</v>
      </c>
      <c r="F10" s="12" t="s">
        <v>111</v>
      </c>
      <c r="G10" s="11" t="s">
        <v>80</v>
      </c>
      <c r="H10" s="12" t="s">
        <v>89</v>
      </c>
      <c r="I10" s="11" t="s">
        <v>90</v>
      </c>
      <c r="J10" s="13"/>
      <c r="K10" s="13" t="n">
        <v>2024</v>
      </c>
      <c r="L10" s="13" t="n">
        <v>10</v>
      </c>
      <c r="M10" s="10" t="n">
        <v>2018</v>
      </c>
      <c r="N10" s="12"/>
      <c r="O10" s="14" t="n">
        <f aca="false">IF(K10="","",ROUND((説明!$B$4-DATE(K10,IF(L10="",7,L10),1))/365.25,1))</f>
        <v>2</v>
      </c>
      <c r="P10" s="14" t="str">
        <f aca="false">IF(J10="","",IF(AND(J10=K10,L10&lt;&gt;""),O10,ROUND((説明!$B$4-DATE(J10,7,1))/365.25,1)))</f>
        <v/>
      </c>
      <c r="Q10" s="12" t="s">
        <v>106</v>
      </c>
      <c r="R10" s="12"/>
      <c r="S10" s="10" t="s">
        <v>58</v>
      </c>
      <c r="T10" s="15" t="s">
        <v>112</v>
      </c>
      <c r="U10" s="11" t="s">
        <v>113</v>
      </c>
    </row>
    <row r="11" customFormat="false" ht="15" hidden="false" customHeight="false" outlineLevel="0" collapsed="false">
      <c r="A11" s="10" t="n">
        <v>10</v>
      </c>
      <c r="B11" s="11" t="s">
        <v>47</v>
      </c>
      <c r="C11" s="11" t="s">
        <v>48</v>
      </c>
      <c r="D11" s="12" t="s">
        <v>49</v>
      </c>
      <c r="E11" s="12" t="s">
        <v>114</v>
      </c>
      <c r="F11" s="12" t="s">
        <v>115</v>
      </c>
      <c r="G11" s="11" t="s">
        <v>116</v>
      </c>
      <c r="H11" s="11" t="s">
        <v>117</v>
      </c>
      <c r="I11" s="11" t="s">
        <v>54</v>
      </c>
      <c r="J11" s="13" t="n">
        <v>2006</v>
      </c>
      <c r="K11" s="13" t="n">
        <v>2013</v>
      </c>
      <c r="L11" s="13" t="n">
        <v>10</v>
      </c>
      <c r="M11" s="10" t="n">
        <v>2006</v>
      </c>
      <c r="N11" s="12" t="s">
        <v>118</v>
      </c>
      <c r="O11" s="14" t="n">
        <f aca="false">IF(K11="","",ROUND((説明!$B$4-DATE(K11,IF(L11="",7,L11),1))/365.25,1))</f>
        <v>13</v>
      </c>
      <c r="P11" s="14" t="n">
        <f aca="false">IF(J11="","",IF(AND(J11=K11,L11&lt;&gt;""),O11,ROUND((説明!$B$4-DATE(J11,7,1))/365.25,1)))</f>
        <v>20.3</v>
      </c>
      <c r="Q11" s="12" t="s">
        <v>106</v>
      </c>
      <c r="R11" s="12"/>
      <c r="S11" s="10" t="s">
        <v>108</v>
      </c>
      <c r="T11" s="12" t="s">
        <v>68</v>
      </c>
      <c r="U11" s="11" t="s">
        <v>119</v>
      </c>
    </row>
    <row r="12" customFormat="false" ht="29.85" hidden="false" customHeight="false" outlineLevel="0" collapsed="false">
      <c r="A12" s="10" t="n">
        <v>11</v>
      </c>
      <c r="B12" s="11" t="s">
        <v>47</v>
      </c>
      <c r="C12" s="11" t="s">
        <v>48</v>
      </c>
      <c r="D12" s="12" t="s">
        <v>49</v>
      </c>
      <c r="E12" s="12" t="s">
        <v>120</v>
      </c>
      <c r="F12" s="12" t="s">
        <v>121</v>
      </c>
      <c r="G12" s="12" t="s">
        <v>122</v>
      </c>
      <c r="H12" s="11" t="s">
        <v>117</v>
      </c>
      <c r="I12" s="11" t="s">
        <v>123</v>
      </c>
      <c r="J12" s="13" t="n">
        <v>2022</v>
      </c>
      <c r="K12" s="13" t="n">
        <v>2022</v>
      </c>
      <c r="L12" s="13" t="n">
        <v>2</v>
      </c>
      <c r="M12" s="10"/>
      <c r="N12" s="12"/>
      <c r="O12" s="14" t="n">
        <f aca="false">IF(K12="","",ROUND((説明!$B$4-DATE(K12,IF(L12="",7,L12),1))/365.25,1))</f>
        <v>4.7</v>
      </c>
      <c r="P12" s="14" t="n">
        <f aca="false">IF(J12="","",IF(AND(J12=K12,L12&lt;&gt;""),O12,ROUND((説明!$B$4-DATE(J12,7,1))/365.25,1)))</f>
        <v>4.7</v>
      </c>
      <c r="Q12" s="12" t="s">
        <v>106</v>
      </c>
      <c r="R12" s="11" t="s">
        <v>124</v>
      </c>
      <c r="S12" s="10" t="s">
        <v>58</v>
      </c>
      <c r="T12" s="15" t="s">
        <v>125</v>
      </c>
      <c r="U12" s="12" t="s">
        <v>126</v>
      </c>
    </row>
    <row r="13" customFormat="false" ht="15" hidden="false" customHeight="false" outlineLevel="0" collapsed="false">
      <c r="A13" s="10" t="n">
        <v>12</v>
      </c>
      <c r="B13" s="11" t="s">
        <v>47</v>
      </c>
      <c r="C13" s="11" t="s">
        <v>48</v>
      </c>
      <c r="D13" s="12" t="s">
        <v>49</v>
      </c>
      <c r="E13" s="12" t="s">
        <v>127</v>
      </c>
      <c r="F13" s="12" t="s">
        <v>128</v>
      </c>
      <c r="G13" s="12" t="s">
        <v>122</v>
      </c>
      <c r="H13" s="12" t="s">
        <v>89</v>
      </c>
      <c r="I13" s="11" t="s">
        <v>129</v>
      </c>
      <c r="J13" s="13"/>
      <c r="K13" s="13" t="n">
        <v>2023</v>
      </c>
      <c r="L13" s="13" t="n">
        <v>8</v>
      </c>
      <c r="M13" s="10" t="n">
        <v>2015</v>
      </c>
      <c r="N13" s="12"/>
      <c r="O13" s="14" t="n">
        <f aca="false">IF(K13="","",ROUND((説明!$B$4-DATE(K13,IF(L13="",7,L13),1))/365.25,1))</f>
        <v>3.2</v>
      </c>
      <c r="P13" s="14" t="str">
        <f aca="false">IF(J13="","",IF(AND(J13=K13,L13&lt;&gt;""),O13,ROUND((説明!$B$4-DATE(J13,7,1))/365.25,1)))</f>
        <v/>
      </c>
      <c r="Q13" s="12" t="s">
        <v>106</v>
      </c>
      <c r="R13" s="12"/>
      <c r="S13" s="10" t="s">
        <v>58</v>
      </c>
      <c r="T13" s="15" t="s">
        <v>130</v>
      </c>
      <c r="U13" s="11" t="s">
        <v>131</v>
      </c>
    </row>
    <row r="14" customFormat="false" ht="29.85" hidden="false" customHeight="false" outlineLevel="0" collapsed="false">
      <c r="A14" s="10" t="n">
        <v>13</v>
      </c>
      <c r="B14" s="11" t="s">
        <v>47</v>
      </c>
      <c r="C14" s="11" t="s">
        <v>48</v>
      </c>
      <c r="D14" s="12" t="s">
        <v>49</v>
      </c>
      <c r="E14" s="12" t="s">
        <v>132</v>
      </c>
      <c r="F14" s="12"/>
      <c r="G14" s="11" t="s">
        <v>104</v>
      </c>
      <c r="H14" s="11" t="s">
        <v>63</v>
      </c>
      <c r="I14" s="11" t="s">
        <v>105</v>
      </c>
      <c r="J14" s="13"/>
      <c r="K14" s="13" t="n">
        <v>2019</v>
      </c>
      <c r="L14" s="13"/>
      <c r="M14" s="10"/>
      <c r="N14" s="12"/>
      <c r="O14" s="14" t="n">
        <f aca="false">IF(K14="","",ROUND((説明!$B$4-DATE(K14,IF(L14="",7,L14),1))/365.25,1))</f>
        <v>7.3</v>
      </c>
      <c r="P14" s="14" t="str">
        <f aca="false">IF(J14="","",IF(AND(J14=K14,L14&lt;&gt;""),O14,ROUND((説明!$B$4-DATE(J14,7,1))/365.25,1)))</f>
        <v/>
      </c>
      <c r="Q14" s="12" t="s">
        <v>106</v>
      </c>
      <c r="R14" s="12" t="s">
        <v>133</v>
      </c>
      <c r="S14" s="10" t="s">
        <v>108</v>
      </c>
      <c r="T14" s="12" t="s">
        <v>68</v>
      </c>
      <c r="U14" s="12" t="s">
        <v>134</v>
      </c>
    </row>
    <row r="15" customFormat="false" ht="15" hidden="false" customHeight="false" outlineLevel="0" collapsed="false">
      <c r="A15" s="10" t="n">
        <v>14</v>
      </c>
      <c r="B15" s="11" t="s">
        <v>47</v>
      </c>
      <c r="C15" s="11" t="s">
        <v>48</v>
      </c>
      <c r="D15" s="12" t="s">
        <v>49</v>
      </c>
      <c r="E15" s="12" t="s">
        <v>135</v>
      </c>
      <c r="F15" s="12"/>
      <c r="G15" s="12" t="s">
        <v>122</v>
      </c>
      <c r="H15" s="12" t="s">
        <v>89</v>
      </c>
      <c r="I15" s="11" t="s">
        <v>129</v>
      </c>
      <c r="J15" s="13"/>
      <c r="K15" s="13" t="n">
        <v>2023</v>
      </c>
      <c r="L15" s="13" t="n">
        <v>8</v>
      </c>
      <c r="M15" s="10" t="n">
        <v>2015</v>
      </c>
      <c r="N15" s="12"/>
      <c r="O15" s="14" t="n">
        <f aca="false">IF(K15="","",ROUND((説明!$B$4-DATE(K15,IF(L15="",7,L15),1))/365.25,1))</f>
        <v>3.2</v>
      </c>
      <c r="P15" s="14" t="str">
        <f aca="false">IF(J15="","",IF(AND(J15=K15,L15&lt;&gt;""),O15,ROUND((説明!$B$4-DATE(J15,7,1))/365.25,1)))</f>
        <v/>
      </c>
      <c r="Q15" s="12" t="s">
        <v>106</v>
      </c>
      <c r="R15" s="12"/>
      <c r="S15" s="10" t="s">
        <v>58</v>
      </c>
      <c r="T15" s="15" t="s">
        <v>130</v>
      </c>
      <c r="U15" s="12" t="s">
        <v>136</v>
      </c>
    </row>
    <row r="16" customFormat="false" ht="15" hidden="false" customHeight="false" outlineLevel="0" collapsed="false">
      <c r="A16" s="10" t="n">
        <v>15</v>
      </c>
      <c r="B16" s="11" t="s">
        <v>47</v>
      </c>
      <c r="C16" s="11" t="s">
        <v>48</v>
      </c>
      <c r="D16" s="12" t="s">
        <v>49</v>
      </c>
      <c r="E16" s="12" t="s">
        <v>137</v>
      </c>
      <c r="F16" s="12" t="s">
        <v>138</v>
      </c>
      <c r="G16" s="11" t="s">
        <v>80</v>
      </c>
      <c r="H16" s="11" t="s">
        <v>81</v>
      </c>
      <c r="I16" s="11" t="s">
        <v>54</v>
      </c>
      <c r="J16" s="13" t="n">
        <v>2001</v>
      </c>
      <c r="K16" s="13" t="n">
        <v>2019</v>
      </c>
      <c r="L16" s="13" t="n">
        <v>9</v>
      </c>
      <c r="M16" s="10" t="n">
        <v>2014</v>
      </c>
      <c r="N16" s="12"/>
      <c r="O16" s="14" t="n">
        <f aca="false">IF(K16="","",ROUND((説明!$B$4-DATE(K16,IF(L16="",7,L16),1))/365.25,1))</f>
        <v>7.1</v>
      </c>
      <c r="P16" s="14" t="n">
        <f aca="false">IF(J16="","",IF(AND(J16=K16,L16&lt;&gt;""),O16,ROUND((説明!$B$4-DATE(J16,7,1))/365.25,1)))</f>
        <v>25.3</v>
      </c>
      <c r="Q16" s="12" t="s">
        <v>106</v>
      </c>
      <c r="R16" s="12"/>
      <c r="S16" s="10" t="s">
        <v>67</v>
      </c>
      <c r="T16" s="12" t="s">
        <v>68</v>
      </c>
      <c r="U16" s="11" t="s">
        <v>139</v>
      </c>
    </row>
    <row r="17" customFormat="false" ht="29.85" hidden="false" customHeight="false" outlineLevel="0" collapsed="false">
      <c r="A17" s="10" t="n">
        <v>16</v>
      </c>
      <c r="B17" s="11" t="s">
        <v>47</v>
      </c>
      <c r="C17" s="11" t="s">
        <v>48</v>
      </c>
      <c r="D17" s="12" t="s">
        <v>49</v>
      </c>
      <c r="E17" s="12" t="s">
        <v>140</v>
      </c>
      <c r="F17" s="12"/>
      <c r="G17" s="12" t="s">
        <v>141</v>
      </c>
      <c r="H17" s="11" t="s">
        <v>117</v>
      </c>
      <c r="I17" s="11" t="s">
        <v>142</v>
      </c>
      <c r="J17" s="13" t="n">
        <v>2026</v>
      </c>
      <c r="K17" s="13" t="n">
        <v>2026</v>
      </c>
      <c r="L17" s="13" t="n">
        <v>3</v>
      </c>
      <c r="M17" s="16" t="s">
        <v>74</v>
      </c>
      <c r="N17" s="12"/>
      <c r="O17" s="14" t="n">
        <f aca="false">IF(K17="","",ROUND((説明!$B$4-DATE(K17,IF(L17="",7,L17),1))/365.25,1))</f>
        <v>0.6</v>
      </c>
      <c r="P17" s="14" t="n">
        <f aca="false">IF(J17="","",IF(AND(J17=K17,L17&lt;&gt;""),O17,ROUND((説明!$B$4-DATE(J17,7,1))/365.25,1)))</f>
        <v>0.6</v>
      </c>
      <c r="Q17" s="12" t="s">
        <v>106</v>
      </c>
      <c r="R17" s="12"/>
      <c r="S17" s="10" t="s">
        <v>58</v>
      </c>
      <c r="T17" s="15" t="s">
        <v>143</v>
      </c>
      <c r="U17" s="12" t="s">
        <v>144</v>
      </c>
    </row>
    <row r="18" customFormat="false" ht="29.85" hidden="false" customHeight="false" outlineLevel="0" collapsed="false">
      <c r="A18" s="10" t="n">
        <v>17</v>
      </c>
      <c r="B18" s="11" t="s">
        <v>47</v>
      </c>
      <c r="C18" s="11" t="s">
        <v>48</v>
      </c>
      <c r="D18" s="12" t="s">
        <v>49</v>
      </c>
      <c r="E18" s="12" t="s">
        <v>145</v>
      </c>
      <c r="F18" s="12" t="s">
        <v>146</v>
      </c>
      <c r="G18" s="12" t="s">
        <v>122</v>
      </c>
      <c r="H18" s="12" t="s">
        <v>89</v>
      </c>
      <c r="I18" s="11" t="s">
        <v>123</v>
      </c>
      <c r="J18" s="13" t="n">
        <v>2023</v>
      </c>
      <c r="K18" s="13" t="n">
        <v>2023</v>
      </c>
      <c r="L18" s="13" t="n">
        <v>7</v>
      </c>
      <c r="M18" s="10" t="n">
        <v>2016</v>
      </c>
      <c r="N18" s="12"/>
      <c r="O18" s="14" t="n">
        <f aca="false">IF(K18="","",ROUND((説明!$B$4-DATE(K18,IF(L18="",7,L18),1))/365.25,1))</f>
        <v>3.3</v>
      </c>
      <c r="P18" s="14" t="n">
        <f aca="false">IF(J18="","",IF(AND(J18=K18,L18&lt;&gt;""),O18,ROUND((説明!$B$4-DATE(J18,7,1))/365.25,1)))</f>
        <v>3.3</v>
      </c>
      <c r="Q18" s="12" t="s">
        <v>106</v>
      </c>
      <c r="R18" s="11" t="s">
        <v>147</v>
      </c>
      <c r="S18" s="10" t="s">
        <v>67</v>
      </c>
      <c r="T18" s="15" t="s">
        <v>148</v>
      </c>
      <c r="U18" s="11" t="s">
        <v>149</v>
      </c>
    </row>
    <row r="19" customFormat="false" ht="29.85" hidden="false" customHeight="false" outlineLevel="0" collapsed="false">
      <c r="A19" s="10" t="n">
        <v>18</v>
      </c>
      <c r="B19" s="11" t="s">
        <v>47</v>
      </c>
      <c r="C19" s="11" t="s">
        <v>48</v>
      </c>
      <c r="D19" s="12" t="s">
        <v>49</v>
      </c>
      <c r="E19" s="12" t="s">
        <v>150</v>
      </c>
      <c r="F19" s="12"/>
      <c r="G19" s="12" t="s">
        <v>88</v>
      </c>
      <c r="H19" s="12" t="s">
        <v>151</v>
      </c>
      <c r="I19" s="11" t="s">
        <v>129</v>
      </c>
      <c r="J19" s="13" t="n">
        <v>2022</v>
      </c>
      <c r="K19" s="13" t="n">
        <v>2022</v>
      </c>
      <c r="L19" s="13" t="n">
        <v>11</v>
      </c>
      <c r="M19" s="16" t="s">
        <v>74</v>
      </c>
      <c r="N19" s="12" t="s">
        <v>152</v>
      </c>
      <c r="O19" s="14" t="n">
        <f aca="false">IF(K19="","",ROUND((説明!$B$4-DATE(K19,IF(L19="",7,L19),1))/365.25,1))</f>
        <v>3.9</v>
      </c>
      <c r="P19" s="14" t="n">
        <f aca="false">IF(J19="","",IF(AND(J19=K19,L19&lt;&gt;""),O19,ROUND((説明!$B$4-DATE(J19,7,1))/365.25,1)))</f>
        <v>3.9</v>
      </c>
      <c r="Q19" s="12" t="s">
        <v>153</v>
      </c>
      <c r="R19" s="11" t="s">
        <v>154</v>
      </c>
      <c r="S19" s="10" t="s">
        <v>67</v>
      </c>
      <c r="T19" s="15" t="s">
        <v>155</v>
      </c>
      <c r="U19" s="12" t="s">
        <v>156</v>
      </c>
    </row>
    <row r="20" customFormat="false" ht="29.85" hidden="false" customHeight="false" outlineLevel="0" collapsed="false">
      <c r="A20" s="10" t="n">
        <v>19</v>
      </c>
      <c r="B20" s="11" t="s">
        <v>47</v>
      </c>
      <c r="C20" s="11" t="s">
        <v>48</v>
      </c>
      <c r="D20" s="12" t="s">
        <v>49</v>
      </c>
      <c r="E20" s="12" t="s">
        <v>157</v>
      </c>
      <c r="F20" s="12"/>
      <c r="G20" s="12" t="s">
        <v>88</v>
      </c>
      <c r="H20" s="11" t="s">
        <v>158</v>
      </c>
      <c r="I20" s="11" t="s">
        <v>129</v>
      </c>
      <c r="J20" s="13"/>
      <c r="K20" s="13" t="n">
        <v>2021</v>
      </c>
      <c r="L20" s="13"/>
      <c r="M20" s="10"/>
      <c r="N20" s="12"/>
      <c r="O20" s="14" t="n">
        <f aca="false">IF(K20="","",ROUND((説明!$B$4-DATE(K20,IF(L20="",7,L20),1))/365.25,1))</f>
        <v>5.3</v>
      </c>
      <c r="P20" s="14" t="str">
        <f aca="false">IF(J20="","",IF(AND(J20=K20,L20&lt;&gt;""),O20,ROUND((説明!$B$4-DATE(J20,7,1))/365.25,1)))</f>
        <v/>
      </c>
      <c r="Q20" s="12" t="s">
        <v>153</v>
      </c>
      <c r="R20" s="11" t="s">
        <v>159</v>
      </c>
      <c r="S20" s="10" t="s">
        <v>108</v>
      </c>
      <c r="T20" s="12" t="s">
        <v>68</v>
      </c>
      <c r="U20" s="12"/>
    </row>
    <row r="21" customFormat="false" ht="15" hidden="false" customHeight="false" outlineLevel="0" collapsed="false">
      <c r="A21" s="10" t="n">
        <v>20</v>
      </c>
      <c r="B21" s="11" t="s">
        <v>47</v>
      </c>
      <c r="C21" s="11" t="s">
        <v>48</v>
      </c>
      <c r="D21" s="12" t="s">
        <v>49</v>
      </c>
      <c r="E21" s="12" t="s">
        <v>160</v>
      </c>
      <c r="F21" s="12" t="s">
        <v>161</v>
      </c>
      <c r="G21" s="12" t="s">
        <v>88</v>
      </c>
      <c r="H21" s="11" t="s">
        <v>63</v>
      </c>
      <c r="I21" s="11" t="s">
        <v>129</v>
      </c>
      <c r="J21" s="13"/>
      <c r="K21" s="13" t="n">
        <v>2024</v>
      </c>
      <c r="L21" s="13"/>
      <c r="M21" s="10"/>
      <c r="N21" s="12"/>
      <c r="O21" s="14" t="n">
        <f aca="false">IF(K21="","",ROUND((説明!$B$4-DATE(K21,IF(L21="",7,L21),1))/365.25,1))</f>
        <v>2.3</v>
      </c>
      <c r="P21" s="14" t="str">
        <f aca="false">IF(J21="","",IF(AND(J21=K21,L21&lt;&gt;""),O21,ROUND((説明!$B$4-DATE(J21,7,1))/365.25,1)))</f>
        <v/>
      </c>
      <c r="Q21" s="12" t="s">
        <v>153</v>
      </c>
      <c r="R21" s="12"/>
      <c r="S21" s="10" t="s">
        <v>108</v>
      </c>
      <c r="T21" s="12" t="s">
        <v>68</v>
      </c>
      <c r="U21" s="12"/>
    </row>
    <row r="22" customFormat="false" ht="15" hidden="false" customHeight="false" outlineLevel="0" collapsed="false">
      <c r="A22" s="10" t="n">
        <v>21</v>
      </c>
      <c r="B22" s="11" t="s">
        <v>47</v>
      </c>
      <c r="C22" s="11" t="s">
        <v>48</v>
      </c>
      <c r="D22" s="12" t="s">
        <v>49</v>
      </c>
      <c r="E22" s="12" t="s">
        <v>162</v>
      </c>
      <c r="F22" s="12"/>
      <c r="G22" s="11" t="s">
        <v>163</v>
      </c>
      <c r="H22" s="11" t="s">
        <v>117</v>
      </c>
      <c r="I22" s="11" t="s">
        <v>129</v>
      </c>
      <c r="J22" s="13"/>
      <c r="K22" s="13" t="n">
        <v>2022</v>
      </c>
      <c r="L22" s="13"/>
      <c r="M22" s="10"/>
      <c r="N22" s="12"/>
      <c r="O22" s="14" t="n">
        <f aca="false">IF(K22="","",ROUND((説明!$B$4-DATE(K22,IF(L22="",7,L22),1))/365.25,1))</f>
        <v>4.3</v>
      </c>
      <c r="P22" s="14" t="str">
        <f aca="false">IF(J22="","",IF(AND(J22=K22,L22&lt;&gt;""),O22,ROUND((説明!$B$4-DATE(J22,7,1))/365.25,1)))</f>
        <v/>
      </c>
      <c r="Q22" s="12" t="s">
        <v>164</v>
      </c>
      <c r="R22" s="12"/>
      <c r="S22" s="10" t="s">
        <v>108</v>
      </c>
      <c r="T22" s="12" t="s">
        <v>68</v>
      </c>
      <c r="U22" s="12"/>
    </row>
    <row r="23" customFormat="false" ht="15" hidden="false" customHeight="false" outlineLevel="0" collapsed="false">
      <c r="A23" s="10" t="n">
        <v>22</v>
      </c>
      <c r="B23" s="11" t="s">
        <v>47</v>
      </c>
      <c r="C23" s="11" t="s">
        <v>48</v>
      </c>
      <c r="D23" s="12" t="s">
        <v>49</v>
      </c>
      <c r="E23" s="12" t="s">
        <v>165</v>
      </c>
      <c r="F23" s="12"/>
      <c r="G23" s="11" t="s">
        <v>116</v>
      </c>
      <c r="H23" s="11" t="s">
        <v>117</v>
      </c>
      <c r="I23" s="11" t="s">
        <v>129</v>
      </c>
      <c r="J23" s="13"/>
      <c r="K23" s="13" t="n">
        <v>2021</v>
      </c>
      <c r="L23" s="13"/>
      <c r="M23" s="10"/>
      <c r="N23" s="12"/>
      <c r="O23" s="14" t="n">
        <f aca="false">IF(K23="","",ROUND((説明!$B$4-DATE(K23,IF(L23="",7,L23),1))/365.25,1))</f>
        <v>5.3</v>
      </c>
      <c r="P23" s="14" t="str">
        <f aca="false">IF(J23="","",IF(AND(J23=K23,L23&lt;&gt;""),O23,ROUND((説明!$B$4-DATE(J23,7,1))/365.25,1)))</f>
        <v/>
      </c>
      <c r="Q23" s="12" t="s">
        <v>164</v>
      </c>
      <c r="R23" s="12"/>
      <c r="S23" s="10" t="s">
        <v>108</v>
      </c>
      <c r="T23" s="12" t="s">
        <v>68</v>
      </c>
      <c r="U23" s="12"/>
    </row>
    <row r="24" customFormat="false" ht="15" hidden="false" customHeight="false" outlineLevel="0" collapsed="false">
      <c r="A24" s="10" t="n">
        <v>23</v>
      </c>
      <c r="B24" s="11" t="s">
        <v>47</v>
      </c>
      <c r="C24" s="11" t="s">
        <v>48</v>
      </c>
      <c r="D24" s="12" t="s">
        <v>166</v>
      </c>
      <c r="E24" s="12" t="s">
        <v>167</v>
      </c>
      <c r="F24" s="12"/>
      <c r="G24" s="12" t="s">
        <v>122</v>
      </c>
      <c r="H24" s="12" t="s">
        <v>89</v>
      </c>
      <c r="I24" s="11" t="s">
        <v>129</v>
      </c>
      <c r="J24" s="13" t="n">
        <v>2020</v>
      </c>
      <c r="K24" s="13" t="n">
        <v>2023</v>
      </c>
      <c r="L24" s="13"/>
      <c r="M24" s="10" t="n">
        <v>2020</v>
      </c>
      <c r="N24" s="12"/>
      <c r="O24" s="14" t="n">
        <f aca="false">IF(K24="","",ROUND((説明!$B$4-DATE(K24,IF(L24="",7,L24),1))/365.25,1))</f>
        <v>3.3</v>
      </c>
      <c r="P24" s="14" t="n">
        <f aca="false">IF(J24="","",IF(AND(J24=K24,L24&lt;&gt;""),O24,ROUND((説明!$B$4-DATE(J24,7,1))/365.25,1)))</f>
        <v>6.3</v>
      </c>
      <c r="Q24" s="12" t="s">
        <v>153</v>
      </c>
      <c r="R24" s="12"/>
      <c r="S24" s="10" t="s">
        <v>108</v>
      </c>
      <c r="T24" s="12" t="s">
        <v>68</v>
      </c>
      <c r="U24" s="11" t="s">
        <v>168</v>
      </c>
    </row>
    <row r="25" customFormat="false" ht="15" hidden="false" customHeight="false" outlineLevel="0" collapsed="false">
      <c r="A25" s="10" t="n">
        <v>24</v>
      </c>
      <c r="B25" s="11" t="s">
        <v>47</v>
      </c>
      <c r="C25" s="11" t="s">
        <v>48</v>
      </c>
      <c r="D25" s="12" t="s">
        <v>166</v>
      </c>
      <c r="E25" s="12" t="s">
        <v>169</v>
      </c>
      <c r="F25" s="12"/>
      <c r="G25" s="12" t="s">
        <v>88</v>
      </c>
      <c r="H25" s="12" t="s">
        <v>170</v>
      </c>
      <c r="I25" s="11" t="s">
        <v>129</v>
      </c>
      <c r="J25" s="13"/>
      <c r="K25" s="13" t="n">
        <v>2022</v>
      </c>
      <c r="L25" s="13"/>
      <c r="M25" s="10"/>
      <c r="N25" s="12"/>
      <c r="O25" s="14" t="n">
        <f aca="false">IF(K25="","",ROUND((説明!$B$4-DATE(K25,IF(L25="",7,L25),1))/365.25,1))</f>
        <v>4.3</v>
      </c>
      <c r="P25" s="14" t="str">
        <f aca="false">IF(J25="","",IF(AND(J25=K25,L25&lt;&gt;""),O25,ROUND((説明!$B$4-DATE(J25,7,1))/365.25,1)))</f>
        <v/>
      </c>
      <c r="Q25" s="12" t="s">
        <v>153</v>
      </c>
      <c r="R25" s="12"/>
      <c r="S25" s="10" t="s">
        <v>108</v>
      </c>
      <c r="T25" s="12" t="s">
        <v>68</v>
      </c>
      <c r="U25" s="11" t="s">
        <v>168</v>
      </c>
    </row>
    <row r="26" customFormat="false" ht="15" hidden="false" customHeight="false" outlineLevel="0" collapsed="false">
      <c r="A26" s="10" t="n">
        <v>25</v>
      </c>
      <c r="B26" s="11" t="s">
        <v>47</v>
      </c>
      <c r="C26" s="11" t="s">
        <v>48</v>
      </c>
      <c r="D26" s="12" t="s">
        <v>166</v>
      </c>
      <c r="E26" s="12" t="s">
        <v>171</v>
      </c>
      <c r="F26" s="12"/>
      <c r="G26" s="12" t="s">
        <v>88</v>
      </c>
      <c r="H26" s="12" t="s">
        <v>89</v>
      </c>
      <c r="I26" s="11" t="s">
        <v>129</v>
      </c>
      <c r="J26" s="13"/>
      <c r="K26" s="13" t="n">
        <v>2023</v>
      </c>
      <c r="L26" s="13"/>
      <c r="M26" s="10"/>
      <c r="N26" s="12"/>
      <c r="O26" s="14" t="n">
        <f aca="false">IF(K26="","",ROUND((説明!$B$4-DATE(K26,IF(L26="",7,L26),1))/365.25,1))</f>
        <v>3.3</v>
      </c>
      <c r="P26" s="14" t="str">
        <f aca="false">IF(J26="","",IF(AND(J26=K26,L26&lt;&gt;""),O26,ROUND((説明!$B$4-DATE(J26,7,1))/365.25,1)))</f>
        <v/>
      </c>
      <c r="Q26" s="12" t="s">
        <v>164</v>
      </c>
      <c r="R26" s="12"/>
      <c r="S26" s="10" t="s">
        <v>108</v>
      </c>
      <c r="T26" s="12" t="s">
        <v>68</v>
      </c>
      <c r="U26" s="11" t="s">
        <v>172</v>
      </c>
    </row>
    <row r="27" customFormat="false" ht="29.85" hidden="false" customHeight="false" outlineLevel="0" collapsed="false">
      <c r="A27" s="10" t="n">
        <v>26</v>
      </c>
      <c r="B27" s="11" t="s">
        <v>47</v>
      </c>
      <c r="C27" s="11" t="s">
        <v>173</v>
      </c>
      <c r="D27" s="12" t="s">
        <v>174</v>
      </c>
      <c r="E27" s="12" t="s">
        <v>175</v>
      </c>
      <c r="F27" s="12"/>
      <c r="G27" s="11" t="s">
        <v>80</v>
      </c>
      <c r="H27" s="11" t="s">
        <v>81</v>
      </c>
      <c r="I27" s="11" t="s">
        <v>54</v>
      </c>
      <c r="J27" s="13" t="n">
        <v>1996</v>
      </c>
      <c r="K27" s="13" t="n">
        <v>2019</v>
      </c>
      <c r="L27" s="13" t="n">
        <v>11</v>
      </c>
      <c r="M27" s="10" t="n">
        <v>2014</v>
      </c>
      <c r="N27" s="12" t="s">
        <v>176</v>
      </c>
      <c r="O27" s="14" t="n">
        <f aca="false">IF(K27="","",ROUND((説明!$B$4-DATE(K27,IF(L27="",7,L27),1))/365.25,1))</f>
        <v>6.9</v>
      </c>
      <c r="P27" s="14" t="n">
        <f aca="false">IF(J27="","",IF(AND(J27=K27,L27&lt;&gt;""),O27,ROUND((説明!$B$4-DATE(J27,7,1))/365.25,1)))</f>
        <v>30.3</v>
      </c>
      <c r="Q27" s="12" t="s">
        <v>177</v>
      </c>
      <c r="R27" s="11" t="s">
        <v>76</v>
      </c>
      <c r="S27" s="10" t="s">
        <v>67</v>
      </c>
      <c r="T27" s="12" t="s">
        <v>68</v>
      </c>
      <c r="U27" s="11" t="s">
        <v>178</v>
      </c>
    </row>
    <row r="28" customFormat="false" ht="15" hidden="false" customHeight="false" outlineLevel="0" collapsed="false">
      <c r="A28" s="10" t="n">
        <v>27</v>
      </c>
      <c r="B28" s="11" t="s">
        <v>47</v>
      </c>
      <c r="C28" s="11" t="s">
        <v>173</v>
      </c>
      <c r="D28" s="12" t="s">
        <v>174</v>
      </c>
      <c r="E28" s="12" t="s">
        <v>179</v>
      </c>
      <c r="F28" s="12"/>
      <c r="G28" s="11" t="s">
        <v>116</v>
      </c>
      <c r="H28" s="11" t="s">
        <v>81</v>
      </c>
      <c r="I28" s="11" t="s">
        <v>54</v>
      </c>
      <c r="J28" s="13" t="n">
        <v>2020</v>
      </c>
      <c r="K28" s="13" t="n">
        <v>2020</v>
      </c>
      <c r="L28" s="13" t="n">
        <v>11</v>
      </c>
      <c r="M28" s="16" t="s">
        <v>74</v>
      </c>
      <c r="N28" s="12" t="s">
        <v>176</v>
      </c>
      <c r="O28" s="14" t="n">
        <f aca="false">IF(K28="","",ROUND((説明!$B$4-DATE(K28,IF(L28="",7,L28),1))/365.25,1))</f>
        <v>5.9</v>
      </c>
      <c r="P28" s="14" t="n">
        <f aca="false">IF(J28="","",IF(AND(J28=K28,L28&lt;&gt;""),O28,ROUND((説明!$B$4-DATE(J28,7,1))/365.25,1)))</f>
        <v>5.9</v>
      </c>
      <c r="Q28" s="12" t="s">
        <v>65</v>
      </c>
      <c r="R28" s="11" t="s">
        <v>76</v>
      </c>
      <c r="S28" s="10" t="s">
        <v>67</v>
      </c>
      <c r="T28" s="12" t="s">
        <v>68</v>
      </c>
      <c r="U28" s="12" t="s">
        <v>180</v>
      </c>
    </row>
    <row r="29" customFormat="false" ht="15" hidden="false" customHeight="false" outlineLevel="0" collapsed="false">
      <c r="A29" s="10" t="n">
        <v>28</v>
      </c>
      <c r="B29" s="11" t="s">
        <v>47</v>
      </c>
      <c r="C29" s="11" t="s">
        <v>173</v>
      </c>
      <c r="D29" s="12" t="s">
        <v>174</v>
      </c>
      <c r="E29" s="12" t="s">
        <v>181</v>
      </c>
      <c r="F29" s="12" t="s">
        <v>182</v>
      </c>
      <c r="G29" s="12" t="s">
        <v>88</v>
      </c>
      <c r="H29" s="12" t="s">
        <v>89</v>
      </c>
      <c r="I29" s="11" t="s">
        <v>54</v>
      </c>
      <c r="J29" s="13" t="n">
        <v>2014</v>
      </c>
      <c r="K29" s="13" t="n">
        <v>2021</v>
      </c>
      <c r="L29" s="13" t="n">
        <v>10</v>
      </c>
      <c r="M29" s="10" t="n">
        <v>2014</v>
      </c>
      <c r="N29" s="12"/>
      <c r="O29" s="14" t="n">
        <f aca="false">IF(K29="","",ROUND((説明!$B$4-DATE(K29,IF(L29="",7,L29),1))/365.25,1))</f>
        <v>5</v>
      </c>
      <c r="P29" s="14" t="n">
        <f aca="false">IF(J29="","",IF(AND(J29=K29,L29&lt;&gt;""),O29,ROUND((説明!$B$4-DATE(J29,7,1))/365.25,1)))</f>
        <v>12.3</v>
      </c>
      <c r="Q29" s="12" t="s">
        <v>83</v>
      </c>
      <c r="R29" s="12"/>
      <c r="S29" s="10" t="s">
        <v>67</v>
      </c>
      <c r="T29" s="12" t="s">
        <v>68</v>
      </c>
      <c r="U29" s="11" t="s">
        <v>183</v>
      </c>
    </row>
    <row r="30" customFormat="false" ht="15" hidden="false" customHeight="false" outlineLevel="0" collapsed="false">
      <c r="A30" s="10" t="n">
        <v>29</v>
      </c>
      <c r="B30" s="11" t="s">
        <v>47</v>
      </c>
      <c r="C30" s="11" t="s">
        <v>173</v>
      </c>
      <c r="D30" s="12" t="s">
        <v>174</v>
      </c>
      <c r="E30" s="12" t="s">
        <v>184</v>
      </c>
      <c r="F30" s="12"/>
      <c r="G30" s="11" t="s">
        <v>80</v>
      </c>
      <c r="H30" s="11" t="s">
        <v>81</v>
      </c>
      <c r="I30" s="11" t="s">
        <v>54</v>
      </c>
      <c r="J30" s="13"/>
      <c r="K30" s="13" t="n">
        <v>2021</v>
      </c>
      <c r="L30" s="13" t="n">
        <v>8</v>
      </c>
      <c r="M30" s="10" t="n">
        <v>2016</v>
      </c>
      <c r="N30" s="12" t="s">
        <v>185</v>
      </c>
      <c r="O30" s="14" t="n">
        <f aca="false">IF(K30="","",ROUND((説明!$B$4-DATE(K30,IF(L30="",7,L30),1))/365.25,1))</f>
        <v>5.2</v>
      </c>
      <c r="P30" s="14" t="str">
        <f aca="false">IF(J30="","",IF(AND(J30=K30,L30&lt;&gt;""),O30,ROUND((説明!$B$4-DATE(J30,7,1))/365.25,1)))</f>
        <v/>
      </c>
      <c r="Q30" s="12" t="s">
        <v>99</v>
      </c>
      <c r="R30" s="12"/>
      <c r="S30" s="10" t="s">
        <v>67</v>
      </c>
      <c r="T30" s="12" t="s">
        <v>68</v>
      </c>
      <c r="U30" s="11" t="s">
        <v>186</v>
      </c>
    </row>
    <row r="31" customFormat="false" ht="29.85" hidden="false" customHeight="false" outlineLevel="0" collapsed="false">
      <c r="A31" s="10" t="n">
        <v>30</v>
      </c>
      <c r="B31" s="11" t="s">
        <v>47</v>
      </c>
      <c r="C31" s="11" t="s">
        <v>173</v>
      </c>
      <c r="D31" s="12" t="s">
        <v>174</v>
      </c>
      <c r="E31" s="12" t="s">
        <v>187</v>
      </c>
      <c r="F31" s="12"/>
      <c r="G31" s="12" t="s">
        <v>88</v>
      </c>
      <c r="H31" s="11" t="s">
        <v>81</v>
      </c>
      <c r="I31" s="11" t="s">
        <v>54</v>
      </c>
      <c r="J31" s="13"/>
      <c r="K31" s="13" t="n">
        <v>2023</v>
      </c>
      <c r="L31" s="13" t="n">
        <v>3</v>
      </c>
      <c r="M31" s="10" t="n">
        <v>2017</v>
      </c>
      <c r="N31" s="12"/>
      <c r="O31" s="14" t="n">
        <f aca="false">IF(K31="","",ROUND((説明!$B$4-DATE(K31,IF(L31="",7,L31),1))/365.25,1))</f>
        <v>3.6</v>
      </c>
      <c r="P31" s="14" t="str">
        <f aca="false">IF(J31="","",IF(AND(J31=K31,L31&lt;&gt;""),O31,ROUND((説明!$B$4-DATE(J31,7,1))/365.25,1)))</f>
        <v/>
      </c>
      <c r="Q31" s="12" t="s">
        <v>99</v>
      </c>
      <c r="R31" s="12"/>
      <c r="S31" s="10" t="s">
        <v>58</v>
      </c>
      <c r="T31" s="15" t="s">
        <v>188</v>
      </c>
      <c r="U31" s="11" t="s">
        <v>189</v>
      </c>
    </row>
    <row r="32" customFormat="false" ht="29.85" hidden="false" customHeight="false" outlineLevel="0" collapsed="false">
      <c r="A32" s="10" t="n">
        <v>31</v>
      </c>
      <c r="B32" s="11" t="s">
        <v>47</v>
      </c>
      <c r="C32" s="11" t="s">
        <v>173</v>
      </c>
      <c r="D32" s="12" t="s">
        <v>174</v>
      </c>
      <c r="E32" s="12" t="s">
        <v>190</v>
      </c>
      <c r="F32" s="12"/>
      <c r="G32" s="11" t="s">
        <v>80</v>
      </c>
      <c r="H32" s="12" t="s">
        <v>89</v>
      </c>
      <c r="I32" s="11" t="s">
        <v>54</v>
      </c>
      <c r="J32" s="13"/>
      <c r="K32" s="13" t="n">
        <v>2023</v>
      </c>
      <c r="L32" s="13" t="n">
        <v>10</v>
      </c>
      <c r="M32" s="10" t="n">
        <v>2019</v>
      </c>
      <c r="N32" s="12" t="s">
        <v>191</v>
      </c>
      <c r="O32" s="14" t="n">
        <f aca="false">IF(K32="","",ROUND((説明!$B$4-DATE(K32,IF(L32="",7,L32),1))/365.25,1))</f>
        <v>3</v>
      </c>
      <c r="P32" s="14" t="str">
        <f aca="false">IF(J32="","",IF(AND(J32=K32,L32&lt;&gt;""),O32,ROUND((説明!$B$4-DATE(J32,7,1))/365.25,1)))</f>
        <v/>
      </c>
      <c r="Q32" s="12" t="s">
        <v>106</v>
      </c>
      <c r="R32" s="12"/>
      <c r="S32" s="10" t="s">
        <v>67</v>
      </c>
      <c r="T32" s="15" t="s">
        <v>192</v>
      </c>
      <c r="U32" s="11" t="s">
        <v>193</v>
      </c>
    </row>
    <row r="33" customFormat="false" ht="29.85" hidden="false" customHeight="false" outlineLevel="0" collapsed="false">
      <c r="A33" s="10" t="n">
        <v>32</v>
      </c>
      <c r="B33" s="11" t="s">
        <v>47</v>
      </c>
      <c r="C33" s="11" t="s">
        <v>173</v>
      </c>
      <c r="D33" s="12" t="s">
        <v>174</v>
      </c>
      <c r="E33" s="12" t="s">
        <v>194</v>
      </c>
      <c r="F33" s="12" t="s">
        <v>195</v>
      </c>
      <c r="G33" s="12" t="s">
        <v>122</v>
      </c>
      <c r="H33" s="12" t="s">
        <v>89</v>
      </c>
      <c r="I33" s="11" t="s">
        <v>129</v>
      </c>
      <c r="J33" s="13" t="n">
        <v>2026</v>
      </c>
      <c r="K33" s="13" t="n">
        <v>2026</v>
      </c>
      <c r="L33" s="13" t="n">
        <v>2</v>
      </c>
      <c r="M33" s="16" t="s">
        <v>74</v>
      </c>
      <c r="N33" s="12"/>
      <c r="O33" s="14" t="n">
        <f aca="false">IF(K33="","",ROUND((説明!$B$4-DATE(K33,IF(L33="",7,L33),1))/365.25,1))</f>
        <v>0.7</v>
      </c>
      <c r="P33" s="14" t="n">
        <f aca="false">IF(J33="","",IF(AND(J33=K33,L33&lt;&gt;""),O33,ROUND((説明!$B$4-DATE(J33,7,1))/365.25,1)))</f>
        <v>0.7</v>
      </c>
      <c r="Q33" s="12" t="s">
        <v>153</v>
      </c>
      <c r="R33" s="11" t="s">
        <v>196</v>
      </c>
      <c r="S33" s="10" t="s">
        <v>67</v>
      </c>
      <c r="T33" s="15" t="s">
        <v>197</v>
      </c>
      <c r="U33" s="12" t="s">
        <v>198</v>
      </c>
    </row>
    <row r="34" customFormat="false" ht="15" hidden="false" customHeight="false" outlineLevel="0" collapsed="false">
      <c r="A34" s="10" t="n">
        <v>33</v>
      </c>
      <c r="B34" s="11" t="s">
        <v>47</v>
      </c>
      <c r="C34" s="11" t="s">
        <v>173</v>
      </c>
      <c r="D34" s="12" t="s">
        <v>174</v>
      </c>
      <c r="E34" s="12" t="s">
        <v>199</v>
      </c>
      <c r="F34" s="12" t="s">
        <v>200</v>
      </c>
      <c r="G34" s="12" t="s">
        <v>88</v>
      </c>
      <c r="H34" s="12" t="s">
        <v>151</v>
      </c>
      <c r="I34" s="11" t="s">
        <v>54</v>
      </c>
      <c r="J34" s="13" t="n">
        <v>2024</v>
      </c>
      <c r="K34" s="13" t="n">
        <v>2024</v>
      </c>
      <c r="L34" s="13"/>
      <c r="M34" s="16" t="s">
        <v>74</v>
      </c>
      <c r="N34" s="12"/>
      <c r="O34" s="14" t="n">
        <f aca="false">IF(K34="","",ROUND((説明!$B$4-DATE(K34,IF(L34="",7,L34),1))/365.25,1))</f>
        <v>2.3</v>
      </c>
      <c r="P34" s="14" t="n">
        <f aca="false">IF(J34="","",IF(AND(J34=K34,L34&lt;&gt;""),O34,ROUND((説明!$B$4-DATE(J34,7,1))/365.25,1)))</f>
        <v>2.3</v>
      </c>
      <c r="Q34" s="12" t="s">
        <v>153</v>
      </c>
      <c r="R34" s="12"/>
      <c r="S34" s="10" t="s">
        <v>108</v>
      </c>
      <c r="T34" s="12" t="s">
        <v>68</v>
      </c>
      <c r="U34" s="11" t="s">
        <v>201</v>
      </c>
    </row>
    <row r="35" customFormat="false" ht="29.85" hidden="false" customHeight="false" outlineLevel="0" collapsed="false">
      <c r="A35" s="10" t="n">
        <v>34</v>
      </c>
      <c r="B35" s="11" t="s">
        <v>47</v>
      </c>
      <c r="C35" s="11" t="s">
        <v>173</v>
      </c>
      <c r="D35" s="12" t="s">
        <v>174</v>
      </c>
      <c r="E35" s="12" t="s">
        <v>202</v>
      </c>
      <c r="F35" s="12" t="s">
        <v>203</v>
      </c>
      <c r="G35" s="12" t="s">
        <v>88</v>
      </c>
      <c r="H35" s="12" t="s">
        <v>151</v>
      </c>
      <c r="I35" s="11" t="s">
        <v>204</v>
      </c>
      <c r="J35" s="13" t="n">
        <v>2026</v>
      </c>
      <c r="K35" s="13" t="n">
        <v>2026</v>
      </c>
      <c r="L35" s="13" t="n">
        <v>3</v>
      </c>
      <c r="M35" s="16" t="s">
        <v>74</v>
      </c>
      <c r="N35" s="12"/>
      <c r="O35" s="14" t="n">
        <f aca="false">IF(K35="","",ROUND((説明!$B$4-DATE(K35,IF(L35="",7,L35),1))/365.25,1))</f>
        <v>0.6</v>
      </c>
      <c r="P35" s="14" t="n">
        <f aca="false">IF(J35="","",IF(AND(J35=K35,L35&lt;&gt;""),O35,ROUND((説明!$B$4-DATE(J35,7,1))/365.25,1)))</f>
        <v>0.6</v>
      </c>
      <c r="Q35" s="12" t="s">
        <v>164</v>
      </c>
      <c r="R35" s="12"/>
      <c r="S35" s="10" t="s">
        <v>58</v>
      </c>
      <c r="T35" s="15" t="s">
        <v>205</v>
      </c>
      <c r="U35" s="12" t="s">
        <v>206</v>
      </c>
    </row>
    <row r="36" customFormat="false" ht="15" hidden="false" customHeight="false" outlineLevel="0" collapsed="false">
      <c r="A36" s="10" t="n">
        <v>35</v>
      </c>
      <c r="B36" s="11" t="s">
        <v>47</v>
      </c>
      <c r="C36" s="11" t="s">
        <v>207</v>
      </c>
      <c r="D36" s="12" t="s">
        <v>208</v>
      </c>
      <c r="E36" s="12" t="s">
        <v>209</v>
      </c>
      <c r="F36" s="12"/>
      <c r="G36" s="11" t="s">
        <v>52</v>
      </c>
      <c r="H36" s="11" t="s">
        <v>63</v>
      </c>
      <c r="I36" s="11" t="s">
        <v>54</v>
      </c>
      <c r="J36" s="13" t="n">
        <v>2002</v>
      </c>
      <c r="K36" s="13" t="n">
        <v>2019</v>
      </c>
      <c r="L36" s="13" t="n">
        <v>10</v>
      </c>
      <c r="M36" s="10" t="n">
        <v>2011</v>
      </c>
      <c r="N36" s="12" t="s">
        <v>210</v>
      </c>
      <c r="O36" s="14" t="n">
        <f aca="false">IF(K36="","",ROUND((説明!$B$4-DATE(K36,IF(L36="",7,L36),1))/365.25,1))</f>
        <v>7</v>
      </c>
      <c r="P36" s="14" t="n">
        <f aca="false">IF(J36="","",IF(AND(J36=K36,L36&lt;&gt;""),O36,ROUND((説明!$B$4-DATE(J36,7,1))/365.25,1)))</f>
        <v>24.3</v>
      </c>
      <c r="Q36" s="12" t="s">
        <v>83</v>
      </c>
      <c r="R36" s="12" t="s">
        <v>211</v>
      </c>
      <c r="S36" s="10" t="s">
        <v>67</v>
      </c>
      <c r="T36" s="12" t="s">
        <v>68</v>
      </c>
      <c r="U36" s="11" t="s">
        <v>212</v>
      </c>
    </row>
    <row r="37" customFormat="false" ht="15" hidden="false" customHeight="false" outlineLevel="0" collapsed="false">
      <c r="A37" s="10" t="n">
        <v>36</v>
      </c>
      <c r="B37" s="11" t="s">
        <v>47</v>
      </c>
      <c r="C37" s="11" t="s">
        <v>207</v>
      </c>
      <c r="D37" s="12" t="s">
        <v>208</v>
      </c>
      <c r="E37" s="12" t="s">
        <v>213</v>
      </c>
      <c r="F37" s="12"/>
      <c r="G37" s="12" t="s">
        <v>97</v>
      </c>
      <c r="H37" s="11" t="s">
        <v>63</v>
      </c>
      <c r="I37" s="11" t="s">
        <v>54</v>
      </c>
      <c r="J37" s="13" t="n">
        <v>2013</v>
      </c>
      <c r="K37" s="13" t="n">
        <v>2021</v>
      </c>
      <c r="L37" s="13" t="n">
        <v>1</v>
      </c>
      <c r="M37" s="10" t="n">
        <v>2013</v>
      </c>
      <c r="N37" s="12"/>
      <c r="O37" s="14" t="n">
        <f aca="false">IF(K37="","",ROUND((説明!$B$4-DATE(K37,IF(L37="",7,L37),1))/365.25,1))</f>
        <v>5.7</v>
      </c>
      <c r="P37" s="14" t="n">
        <f aca="false">IF(J37="","",IF(AND(J37=K37,L37&lt;&gt;""),O37,ROUND((説明!$B$4-DATE(J37,7,1))/365.25,1)))</f>
        <v>13.3</v>
      </c>
      <c r="Q37" s="12" t="s">
        <v>99</v>
      </c>
      <c r="R37" s="12"/>
      <c r="S37" s="10" t="s">
        <v>67</v>
      </c>
      <c r="T37" s="12" t="s">
        <v>68</v>
      </c>
      <c r="U37" s="11" t="s">
        <v>168</v>
      </c>
    </row>
    <row r="38" customFormat="false" ht="29.85" hidden="false" customHeight="false" outlineLevel="0" collapsed="false">
      <c r="A38" s="10" t="n">
        <v>37</v>
      </c>
      <c r="B38" s="11" t="s">
        <v>47</v>
      </c>
      <c r="C38" s="11" t="s">
        <v>207</v>
      </c>
      <c r="D38" s="12" t="s">
        <v>208</v>
      </c>
      <c r="E38" s="12" t="s">
        <v>214</v>
      </c>
      <c r="F38" s="12"/>
      <c r="G38" s="11" t="s">
        <v>52</v>
      </c>
      <c r="H38" s="12" t="s">
        <v>151</v>
      </c>
      <c r="I38" s="11" t="s">
        <v>54</v>
      </c>
      <c r="J38" s="13" t="n">
        <v>2026</v>
      </c>
      <c r="K38" s="13" t="n">
        <v>2026</v>
      </c>
      <c r="L38" s="13" t="n">
        <v>3</v>
      </c>
      <c r="M38" s="16" t="s">
        <v>74</v>
      </c>
      <c r="N38" s="12"/>
      <c r="O38" s="14" t="n">
        <f aca="false">IF(K38="","",ROUND((説明!$B$4-DATE(K38,IF(L38="",7,L38),1))/365.25,1))</f>
        <v>0.6</v>
      </c>
      <c r="P38" s="14" t="n">
        <f aca="false">IF(J38="","",IF(AND(J38=K38,L38&lt;&gt;""),O38,ROUND((説明!$B$4-DATE(J38,7,1))/365.25,1)))</f>
        <v>0.6</v>
      </c>
      <c r="Q38" s="11" t="s">
        <v>215</v>
      </c>
      <c r="R38" s="11" t="s">
        <v>216</v>
      </c>
      <c r="S38" s="10" t="s">
        <v>58</v>
      </c>
      <c r="T38" s="15" t="s">
        <v>217</v>
      </c>
      <c r="U38" s="12" t="s">
        <v>218</v>
      </c>
    </row>
    <row r="39" customFormat="false" ht="29.85" hidden="false" customHeight="false" outlineLevel="0" collapsed="false">
      <c r="A39" s="10" t="n">
        <v>38</v>
      </c>
      <c r="B39" s="11" t="s">
        <v>47</v>
      </c>
      <c r="C39" s="11" t="s">
        <v>219</v>
      </c>
      <c r="D39" s="12" t="s">
        <v>220</v>
      </c>
      <c r="E39" s="12" t="s">
        <v>221</v>
      </c>
      <c r="F39" s="12"/>
      <c r="G39" s="12" t="s">
        <v>88</v>
      </c>
      <c r="H39" s="12" t="s">
        <v>89</v>
      </c>
      <c r="I39" s="11" t="s">
        <v>222</v>
      </c>
      <c r="J39" s="13" t="n">
        <v>2025</v>
      </c>
      <c r="K39" s="13" t="n">
        <v>2025</v>
      </c>
      <c r="L39" s="13" t="n">
        <v>3</v>
      </c>
      <c r="M39" s="16" t="s">
        <v>74</v>
      </c>
      <c r="N39" s="12"/>
      <c r="O39" s="14" t="n">
        <f aca="false">IF(K39="","",ROUND((説明!$B$4-DATE(K39,IF(L39="",7,L39),1))/365.25,1))</f>
        <v>1.6</v>
      </c>
      <c r="P39" s="14" t="n">
        <f aca="false">IF(J39="","",IF(AND(J39=K39,L39&lt;&gt;""),O39,ROUND((説明!$B$4-DATE(J39,7,1))/365.25,1)))</f>
        <v>1.6</v>
      </c>
      <c r="Q39" s="12" t="s">
        <v>99</v>
      </c>
      <c r="R39" s="12"/>
      <c r="S39" s="10" t="s">
        <v>58</v>
      </c>
      <c r="T39" s="15" t="s">
        <v>223</v>
      </c>
      <c r="U39" s="11" t="s">
        <v>224</v>
      </c>
    </row>
    <row r="40" customFormat="false" ht="15" hidden="false" customHeight="false" outlineLevel="0" collapsed="false">
      <c r="A40" s="10" t="n">
        <v>39</v>
      </c>
      <c r="B40" s="11" t="s">
        <v>47</v>
      </c>
      <c r="C40" s="11" t="s">
        <v>219</v>
      </c>
      <c r="D40" s="12" t="s">
        <v>220</v>
      </c>
      <c r="E40" s="12" t="s">
        <v>225</v>
      </c>
      <c r="F40" s="12" t="s">
        <v>226</v>
      </c>
      <c r="G40" s="11" t="s">
        <v>52</v>
      </c>
      <c r="H40" s="11" t="s">
        <v>63</v>
      </c>
      <c r="I40" s="11" t="s">
        <v>54</v>
      </c>
      <c r="J40" s="13" t="n">
        <v>2005</v>
      </c>
      <c r="K40" s="13" t="n">
        <v>2023</v>
      </c>
      <c r="L40" s="13" t="n">
        <v>7</v>
      </c>
      <c r="M40" s="10" t="n">
        <v>2014</v>
      </c>
      <c r="N40" s="12"/>
      <c r="O40" s="14" t="n">
        <f aca="false">IF(K40="","",ROUND((説明!$B$4-DATE(K40,IF(L40="",7,L40),1))/365.25,1))</f>
        <v>3.3</v>
      </c>
      <c r="P40" s="14" t="n">
        <f aca="false">IF(J40="","",IF(AND(J40=K40,L40&lt;&gt;""),O40,ROUND((説明!$B$4-DATE(J40,7,1))/365.25,1)))</f>
        <v>21.3</v>
      </c>
      <c r="Q40" s="12" t="s">
        <v>106</v>
      </c>
      <c r="R40" s="12"/>
      <c r="S40" s="10" t="s">
        <v>67</v>
      </c>
      <c r="T40" s="12" t="s">
        <v>68</v>
      </c>
      <c r="U40" s="11" t="s">
        <v>227</v>
      </c>
    </row>
    <row r="41" customFormat="false" ht="29.85" hidden="false" customHeight="false" outlineLevel="0" collapsed="false">
      <c r="A41" s="10" t="n">
        <v>40</v>
      </c>
      <c r="B41" s="11" t="s">
        <v>47</v>
      </c>
      <c r="C41" s="11" t="s">
        <v>219</v>
      </c>
      <c r="D41" s="12" t="s">
        <v>220</v>
      </c>
      <c r="E41" s="12" t="s">
        <v>228</v>
      </c>
      <c r="F41" s="12"/>
      <c r="G41" s="12" t="s">
        <v>229</v>
      </c>
      <c r="H41" s="11" t="s">
        <v>81</v>
      </c>
      <c r="I41" s="11" t="s">
        <v>54</v>
      </c>
      <c r="J41" s="13" t="n">
        <v>2020</v>
      </c>
      <c r="K41" s="13" t="n">
        <v>2020</v>
      </c>
      <c r="L41" s="13"/>
      <c r="M41" s="16" t="s">
        <v>74</v>
      </c>
      <c r="N41" s="12" t="s">
        <v>230</v>
      </c>
      <c r="O41" s="14" t="n">
        <f aca="false">IF(K41="","",ROUND((説明!$B$4-DATE(K41,IF(L41="",7,L41),1))/365.25,1))</f>
        <v>6.3</v>
      </c>
      <c r="P41" s="14" t="n">
        <f aca="false">IF(J41="","",IF(AND(J41=K41,L41&lt;&gt;""),O41,ROUND((説明!$B$4-DATE(J41,7,1))/365.25,1)))</f>
        <v>6.3</v>
      </c>
      <c r="Q41" s="12" t="s">
        <v>106</v>
      </c>
      <c r="R41" s="11" t="s">
        <v>231</v>
      </c>
      <c r="S41" s="10" t="s">
        <v>108</v>
      </c>
      <c r="T41" s="15" t="s">
        <v>232</v>
      </c>
      <c r="U41" s="11" t="s">
        <v>201</v>
      </c>
    </row>
    <row r="42" customFormat="false" ht="15" hidden="false" customHeight="false" outlineLevel="0" collapsed="false">
      <c r="A42" s="10" t="n">
        <v>41</v>
      </c>
      <c r="B42" s="11" t="s">
        <v>47</v>
      </c>
      <c r="C42" s="11" t="s">
        <v>219</v>
      </c>
      <c r="D42" s="12" t="s">
        <v>220</v>
      </c>
      <c r="E42" s="12" t="s">
        <v>233</v>
      </c>
      <c r="F42" s="12"/>
      <c r="G42" s="11" t="s">
        <v>80</v>
      </c>
      <c r="H42" s="11" t="s">
        <v>117</v>
      </c>
      <c r="I42" s="11" t="s">
        <v>54</v>
      </c>
      <c r="J42" s="13" t="n">
        <v>2013</v>
      </c>
      <c r="K42" s="13" t="n">
        <v>2013</v>
      </c>
      <c r="L42" s="13"/>
      <c r="M42" s="16" t="s">
        <v>74</v>
      </c>
      <c r="N42" s="11" t="s">
        <v>234</v>
      </c>
      <c r="O42" s="14" t="n">
        <f aca="false">IF(K42="","",ROUND((説明!$B$4-DATE(K42,IF(L42="",7,L42),1))/365.25,1))</f>
        <v>13.3</v>
      </c>
      <c r="P42" s="14" t="n">
        <f aca="false">IF(J42="","",IF(AND(J42=K42,L42&lt;&gt;""),O42,ROUND((説明!$B$4-DATE(J42,7,1))/365.25,1)))</f>
        <v>13.3</v>
      </c>
      <c r="Q42" s="12" t="s">
        <v>106</v>
      </c>
      <c r="R42" s="12"/>
      <c r="S42" s="10" t="s">
        <v>67</v>
      </c>
      <c r="T42" s="12" t="s">
        <v>68</v>
      </c>
      <c r="U42" s="12"/>
    </row>
    <row r="43" customFormat="false" ht="15" hidden="false" customHeight="false" outlineLevel="0" collapsed="false">
      <c r="A43" s="10" t="n">
        <v>42</v>
      </c>
      <c r="B43" s="11" t="s">
        <v>47</v>
      </c>
      <c r="C43" s="11" t="s">
        <v>219</v>
      </c>
      <c r="D43" s="12" t="s">
        <v>220</v>
      </c>
      <c r="E43" s="12" t="s">
        <v>235</v>
      </c>
      <c r="F43" s="12" t="s">
        <v>236</v>
      </c>
      <c r="G43" s="12" t="s">
        <v>97</v>
      </c>
      <c r="H43" s="11" t="s">
        <v>63</v>
      </c>
      <c r="I43" s="11" t="s">
        <v>54</v>
      </c>
      <c r="J43" s="13" t="n">
        <v>2008</v>
      </c>
      <c r="K43" s="13" t="n">
        <v>2015</v>
      </c>
      <c r="L43" s="13" t="n">
        <v>8</v>
      </c>
      <c r="M43" s="10" t="n">
        <v>2008</v>
      </c>
      <c r="N43" s="12" t="s">
        <v>237</v>
      </c>
      <c r="O43" s="14" t="n">
        <f aca="false">IF(K43="","",ROUND((説明!$B$4-DATE(K43,IF(L43="",7,L43),1))/365.25,1))</f>
        <v>11.2</v>
      </c>
      <c r="P43" s="14" t="n">
        <f aca="false">IF(J43="","",IF(AND(J43=K43,L43&lt;&gt;""),O43,ROUND((説明!$B$4-DATE(J43,7,1))/365.25,1)))</f>
        <v>18.3</v>
      </c>
      <c r="Q43" s="12" t="s">
        <v>106</v>
      </c>
      <c r="R43" s="12"/>
      <c r="S43" s="10" t="s">
        <v>67</v>
      </c>
      <c r="T43" s="12" t="s">
        <v>68</v>
      </c>
      <c r="U43" s="11" t="s">
        <v>238</v>
      </c>
    </row>
    <row r="44" customFormat="false" ht="15" hidden="false" customHeight="false" outlineLevel="0" collapsed="false">
      <c r="A44" s="10" t="n">
        <v>43</v>
      </c>
      <c r="B44" s="11" t="s">
        <v>47</v>
      </c>
      <c r="C44" s="11" t="s">
        <v>219</v>
      </c>
      <c r="D44" s="12" t="s">
        <v>220</v>
      </c>
      <c r="E44" s="12" t="s">
        <v>239</v>
      </c>
      <c r="F44" s="12" t="s">
        <v>240</v>
      </c>
      <c r="G44" s="11" t="s">
        <v>116</v>
      </c>
      <c r="H44" s="11" t="s">
        <v>117</v>
      </c>
      <c r="I44" s="11" t="s">
        <v>54</v>
      </c>
      <c r="J44" s="13" t="n">
        <v>2012</v>
      </c>
      <c r="K44" s="13" t="n">
        <v>2012</v>
      </c>
      <c r="L44" s="13" t="n">
        <v>3</v>
      </c>
      <c r="M44" s="16" t="s">
        <v>74</v>
      </c>
      <c r="N44" s="11" t="s">
        <v>234</v>
      </c>
      <c r="O44" s="14" t="n">
        <f aca="false">IF(K44="","",ROUND((説明!$B$4-DATE(K44,IF(L44="",7,L44),1))/365.25,1))</f>
        <v>14.6</v>
      </c>
      <c r="P44" s="14" t="n">
        <f aca="false">IF(J44="","",IF(AND(J44=K44,L44&lt;&gt;""),O44,ROUND((説明!$B$4-DATE(J44,7,1))/365.25,1)))</f>
        <v>14.6</v>
      </c>
      <c r="Q44" s="12" t="s">
        <v>106</v>
      </c>
      <c r="R44" s="12"/>
      <c r="S44" s="10" t="s">
        <v>67</v>
      </c>
      <c r="T44" s="12" t="s">
        <v>68</v>
      </c>
      <c r="U44" s="12"/>
    </row>
    <row r="45" customFormat="false" ht="29.85" hidden="false" customHeight="false" outlineLevel="0" collapsed="false">
      <c r="A45" s="10" t="n">
        <v>44</v>
      </c>
      <c r="B45" s="11" t="s">
        <v>47</v>
      </c>
      <c r="C45" s="11" t="s">
        <v>219</v>
      </c>
      <c r="D45" s="12" t="s">
        <v>220</v>
      </c>
      <c r="E45" s="12" t="s">
        <v>241</v>
      </c>
      <c r="F45" s="12"/>
      <c r="G45" s="12" t="s">
        <v>122</v>
      </c>
      <c r="H45" s="11" t="s">
        <v>81</v>
      </c>
      <c r="I45" s="11" t="s">
        <v>54</v>
      </c>
      <c r="J45" s="13" t="n">
        <v>2018</v>
      </c>
      <c r="K45" s="13" t="n">
        <v>2018</v>
      </c>
      <c r="L45" s="13"/>
      <c r="M45" s="16" t="s">
        <v>74</v>
      </c>
      <c r="N45" s="12" t="s">
        <v>230</v>
      </c>
      <c r="O45" s="14" t="n">
        <f aca="false">IF(K45="","",ROUND((説明!$B$4-DATE(K45,IF(L45="",7,L45),1))/365.25,1))</f>
        <v>8.3</v>
      </c>
      <c r="P45" s="14" t="n">
        <f aca="false">IF(J45="","",IF(AND(J45=K45,L45&lt;&gt;""),O45,ROUND((説明!$B$4-DATE(J45,7,1))/365.25,1)))</f>
        <v>8.3</v>
      </c>
      <c r="Q45" s="12" t="s">
        <v>153</v>
      </c>
      <c r="R45" s="11" t="s">
        <v>242</v>
      </c>
      <c r="S45" s="10" t="s">
        <v>108</v>
      </c>
      <c r="T45" s="15" t="s">
        <v>232</v>
      </c>
      <c r="U45" s="11" t="s">
        <v>201</v>
      </c>
    </row>
    <row r="46" customFormat="false" ht="29.85" hidden="false" customHeight="false" outlineLevel="0" collapsed="false">
      <c r="A46" s="10" t="n">
        <v>45</v>
      </c>
      <c r="B46" s="11" t="s">
        <v>47</v>
      </c>
      <c r="C46" s="11" t="s">
        <v>243</v>
      </c>
      <c r="D46" s="12" t="s">
        <v>244</v>
      </c>
      <c r="E46" s="12" t="s">
        <v>245</v>
      </c>
      <c r="F46" s="12"/>
      <c r="G46" s="12" t="s">
        <v>122</v>
      </c>
      <c r="H46" s="12" t="s">
        <v>246</v>
      </c>
      <c r="I46" s="11" t="s">
        <v>129</v>
      </c>
      <c r="J46" s="13" t="n">
        <v>2024</v>
      </c>
      <c r="K46" s="13" t="n">
        <v>2025</v>
      </c>
      <c r="L46" s="13" t="n">
        <v>3</v>
      </c>
      <c r="M46" s="10" t="n">
        <v>2024</v>
      </c>
      <c r="N46" s="12"/>
      <c r="O46" s="14" t="n">
        <f aca="false">IF(K46="","",ROUND((説明!$B$4-DATE(K46,IF(L46="",7,L46),1))/365.25,1))</f>
        <v>1.6</v>
      </c>
      <c r="P46" s="14" t="n">
        <f aca="false">IF(J46="","",IF(AND(J46=K46,L46&lt;&gt;""),O46,ROUND((説明!$B$4-DATE(J46,7,1))/365.25,1)))</f>
        <v>2.3</v>
      </c>
      <c r="Q46" s="12" t="s">
        <v>106</v>
      </c>
      <c r="R46" s="11" t="s">
        <v>247</v>
      </c>
      <c r="S46" s="10" t="s">
        <v>58</v>
      </c>
      <c r="T46" s="15" t="s">
        <v>248</v>
      </c>
      <c r="U46" s="12" t="s">
        <v>249</v>
      </c>
    </row>
    <row r="47" customFormat="false" ht="29.85" hidden="false" customHeight="false" outlineLevel="0" collapsed="false">
      <c r="A47" s="10" t="n">
        <v>46</v>
      </c>
      <c r="B47" s="11" t="s">
        <v>47</v>
      </c>
      <c r="C47" s="11" t="s">
        <v>243</v>
      </c>
      <c r="D47" s="12" t="s">
        <v>244</v>
      </c>
      <c r="E47" s="12" t="s">
        <v>250</v>
      </c>
      <c r="F47" s="12"/>
      <c r="G47" s="12" t="s">
        <v>88</v>
      </c>
      <c r="H47" s="12" t="s">
        <v>246</v>
      </c>
      <c r="I47" s="11" t="s">
        <v>54</v>
      </c>
      <c r="J47" s="13" t="n">
        <v>2020</v>
      </c>
      <c r="K47" s="13" t="n">
        <v>2020</v>
      </c>
      <c r="L47" s="13" t="n">
        <v>5</v>
      </c>
      <c r="M47" s="16" t="s">
        <v>74</v>
      </c>
      <c r="N47" s="12" t="s">
        <v>251</v>
      </c>
      <c r="O47" s="14" t="n">
        <f aca="false">IF(K47="","",ROUND((説明!$B$4-DATE(K47,IF(L47="",7,L47),1))/365.25,1))</f>
        <v>6.4</v>
      </c>
      <c r="P47" s="14" t="n">
        <f aca="false">IF(J47="","",IF(AND(J47=K47,L47&lt;&gt;""),O47,ROUND((説明!$B$4-DATE(J47,7,1))/365.25,1)))</f>
        <v>6.4</v>
      </c>
      <c r="Q47" s="12" t="s">
        <v>106</v>
      </c>
      <c r="R47" s="12"/>
      <c r="S47" s="10" t="s">
        <v>67</v>
      </c>
      <c r="T47" s="15" t="s">
        <v>232</v>
      </c>
      <c r="U47" s="12"/>
    </row>
    <row r="48" customFormat="false" ht="15" hidden="false" customHeight="false" outlineLevel="0" collapsed="false">
      <c r="A48" s="10" t="n">
        <v>47</v>
      </c>
      <c r="B48" s="11" t="s">
        <v>47</v>
      </c>
      <c r="C48" s="11" t="s">
        <v>243</v>
      </c>
      <c r="D48" s="12" t="s">
        <v>244</v>
      </c>
      <c r="E48" s="12" t="s">
        <v>252</v>
      </c>
      <c r="F48" s="12" t="s">
        <v>253</v>
      </c>
      <c r="G48" s="11" t="s">
        <v>80</v>
      </c>
      <c r="H48" s="11" t="s">
        <v>117</v>
      </c>
      <c r="I48" s="11" t="s">
        <v>54</v>
      </c>
      <c r="J48" s="13" t="n">
        <v>2011</v>
      </c>
      <c r="K48" s="13" t="n">
        <v>2019</v>
      </c>
      <c r="L48" s="13" t="n">
        <v>11</v>
      </c>
      <c r="M48" s="10" t="n">
        <v>2011</v>
      </c>
      <c r="N48" s="12"/>
      <c r="O48" s="14" t="n">
        <f aca="false">IF(K48="","",ROUND((説明!$B$4-DATE(K48,IF(L48="",7,L48),1))/365.25,1))</f>
        <v>6.9</v>
      </c>
      <c r="P48" s="14" t="n">
        <f aca="false">IF(J48="","",IF(AND(J48=K48,L48&lt;&gt;""),O48,ROUND((説明!$B$4-DATE(J48,7,1))/365.25,1)))</f>
        <v>15.3</v>
      </c>
      <c r="Q48" s="12" t="s">
        <v>106</v>
      </c>
      <c r="R48" s="12"/>
      <c r="S48" s="10" t="s">
        <v>67</v>
      </c>
      <c r="T48" s="12" t="s">
        <v>68</v>
      </c>
      <c r="U48" s="11" t="s">
        <v>212</v>
      </c>
    </row>
    <row r="49" customFormat="false" ht="15" hidden="false" customHeight="false" outlineLevel="0" collapsed="false">
      <c r="A49" s="10" t="n">
        <v>48</v>
      </c>
      <c r="B49" s="11" t="s">
        <v>47</v>
      </c>
      <c r="C49" s="11" t="s">
        <v>243</v>
      </c>
      <c r="D49" s="12" t="s">
        <v>244</v>
      </c>
      <c r="E49" s="12" t="s">
        <v>254</v>
      </c>
      <c r="F49" s="12" t="s">
        <v>255</v>
      </c>
      <c r="G49" s="11" t="s">
        <v>52</v>
      </c>
      <c r="H49" s="11" t="s">
        <v>63</v>
      </c>
      <c r="I49" s="11" t="s">
        <v>54</v>
      </c>
      <c r="J49" s="13" t="n">
        <v>2007</v>
      </c>
      <c r="K49" s="13" t="n">
        <v>2014</v>
      </c>
      <c r="L49" s="13" t="n">
        <v>6</v>
      </c>
      <c r="M49" s="10" t="n">
        <v>2007</v>
      </c>
      <c r="N49" s="12" t="s">
        <v>256</v>
      </c>
      <c r="O49" s="14" t="n">
        <f aca="false">IF(K49="","",ROUND((説明!$B$4-DATE(K49,IF(L49="",7,L49),1))/365.25,1))</f>
        <v>12.3</v>
      </c>
      <c r="P49" s="14" t="n">
        <f aca="false">IF(J49="","",IF(AND(J49=K49,L49&lt;&gt;""),O49,ROUND((説明!$B$4-DATE(J49,7,1))/365.25,1)))</f>
        <v>19.3</v>
      </c>
      <c r="Q49" s="12" t="s">
        <v>153</v>
      </c>
      <c r="R49" s="12"/>
      <c r="S49" s="10" t="s">
        <v>67</v>
      </c>
      <c r="T49" s="12" t="s">
        <v>68</v>
      </c>
      <c r="U49" s="12" t="s">
        <v>257</v>
      </c>
    </row>
    <row r="50" customFormat="false" ht="29.85" hidden="false" customHeight="false" outlineLevel="0" collapsed="false">
      <c r="A50" s="10" t="n">
        <v>49</v>
      </c>
      <c r="B50" s="11" t="s">
        <v>47</v>
      </c>
      <c r="C50" s="11" t="s">
        <v>243</v>
      </c>
      <c r="D50" s="12" t="s">
        <v>244</v>
      </c>
      <c r="E50" s="12" t="s">
        <v>258</v>
      </c>
      <c r="F50" s="12"/>
      <c r="G50" s="12" t="s">
        <v>88</v>
      </c>
      <c r="H50" s="12" t="s">
        <v>246</v>
      </c>
      <c r="I50" s="11" t="s">
        <v>259</v>
      </c>
      <c r="J50" s="13"/>
      <c r="K50" s="13" t="n">
        <v>2023</v>
      </c>
      <c r="L50" s="13"/>
      <c r="M50" s="10" t="n">
        <v>2014</v>
      </c>
      <c r="N50" s="12"/>
      <c r="O50" s="14" t="n">
        <f aca="false">IF(K50="","",ROUND((説明!$B$4-DATE(K50,IF(L50="",7,L50),1))/365.25,1))</f>
        <v>3.3</v>
      </c>
      <c r="P50" s="14" t="str">
        <f aca="false">IF(J50="","",IF(AND(J50=K50,L50&lt;&gt;""),O50,ROUND((説明!$B$4-DATE(J50,7,1))/365.25,1)))</f>
        <v/>
      </c>
      <c r="Q50" s="12" t="s">
        <v>153</v>
      </c>
      <c r="R50" s="12" t="s">
        <v>260</v>
      </c>
      <c r="S50" s="10" t="s">
        <v>108</v>
      </c>
      <c r="T50" s="12" t="s">
        <v>68</v>
      </c>
      <c r="U50" s="12" t="s">
        <v>261</v>
      </c>
    </row>
    <row r="51" customFormat="false" ht="29.85" hidden="false" customHeight="false" outlineLevel="0" collapsed="false">
      <c r="A51" s="10" t="n">
        <v>50</v>
      </c>
      <c r="B51" s="11" t="s">
        <v>47</v>
      </c>
      <c r="C51" s="11" t="s">
        <v>262</v>
      </c>
      <c r="D51" s="12" t="s">
        <v>263</v>
      </c>
      <c r="E51" s="12" t="s">
        <v>264</v>
      </c>
      <c r="F51" s="12" t="s">
        <v>265</v>
      </c>
      <c r="G51" s="11" t="s">
        <v>266</v>
      </c>
      <c r="H51" s="11" t="s">
        <v>117</v>
      </c>
      <c r="I51" s="11" t="s">
        <v>54</v>
      </c>
      <c r="J51" s="13" t="n">
        <v>2009</v>
      </c>
      <c r="K51" s="13" t="n">
        <v>2014</v>
      </c>
      <c r="L51" s="13"/>
      <c r="M51" s="10" t="n">
        <v>2009</v>
      </c>
      <c r="N51" s="11" t="s">
        <v>234</v>
      </c>
      <c r="O51" s="14" t="n">
        <f aca="false">IF(K51="","",ROUND((説明!$B$4-DATE(K51,IF(L51="",7,L51),1))/365.25,1))</f>
        <v>12.3</v>
      </c>
      <c r="P51" s="14" t="n">
        <f aca="false">IF(J51="","",IF(AND(J51=K51,L51&lt;&gt;""),O51,ROUND((説明!$B$4-DATE(J51,7,1))/365.25,1)))</f>
        <v>17.3</v>
      </c>
      <c r="Q51" s="12" t="s">
        <v>106</v>
      </c>
      <c r="R51" s="12"/>
      <c r="S51" s="10" t="s">
        <v>108</v>
      </c>
      <c r="T51" s="12" t="s">
        <v>68</v>
      </c>
      <c r="U51" s="12" t="s">
        <v>267</v>
      </c>
    </row>
    <row r="52" customFormat="false" ht="15" hidden="false" customHeight="false" outlineLevel="0" collapsed="false">
      <c r="A52" s="10" t="n">
        <v>51</v>
      </c>
      <c r="B52" s="11" t="s">
        <v>47</v>
      </c>
      <c r="C52" s="11" t="s">
        <v>262</v>
      </c>
      <c r="D52" s="12" t="s">
        <v>263</v>
      </c>
      <c r="E52" s="12" t="s">
        <v>268</v>
      </c>
      <c r="F52" s="12"/>
      <c r="G52" s="12" t="s">
        <v>88</v>
      </c>
      <c r="H52" s="11" t="s">
        <v>117</v>
      </c>
      <c r="I52" s="11" t="s">
        <v>54</v>
      </c>
      <c r="J52" s="13" t="n">
        <v>2020</v>
      </c>
      <c r="K52" s="13" t="n">
        <v>2020</v>
      </c>
      <c r="L52" s="13"/>
      <c r="M52" s="16" t="s">
        <v>74</v>
      </c>
      <c r="N52" s="12"/>
      <c r="O52" s="14" t="n">
        <f aca="false">IF(K52="","",ROUND((説明!$B$4-DATE(K52,IF(L52="",7,L52),1))/365.25,1))</f>
        <v>6.3</v>
      </c>
      <c r="P52" s="14" t="n">
        <f aca="false">IF(J52="","",IF(AND(J52=K52,L52&lt;&gt;""),O52,ROUND((説明!$B$4-DATE(J52,7,1))/365.25,1)))</f>
        <v>6.3</v>
      </c>
      <c r="Q52" s="12" t="s">
        <v>153</v>
      </c>
      <c r="R52" s="12"/>
      <c r="S52" s="10" t="s">
        <v>108</v>
      </c>
      <c r="T52" s="12" t="s">
        <v>68</v>
      </c>
      <c r="U52" s="12"/>
    </row>
    <row r="53" customFormat="false" ht="15" hidden="false" customHeight="false" outlineLevel="0" collapsed="false">
      <c r="A53" s="10" t="n">
        <v>52</v>
      </c>
      <c r="B53" s="11" t="s">
        <v>47</v>
      </c>
      <c r="C53" s="11" t="s">
        <v>262</v>
      </c>
      <c r="D53" s="12" t="s">
        <v>263</v>
      </c>
      <c r="E53" s="12" t="s">
        <v>269</v>
      </c>
      <c r="F53" s="12"/>
      <c r="G53" s="12" t="s">
        <v>88</v>
      </c>
      <c r="H53" s="11" t="s">
        <v>117</v>
      </c>
      <c r="I53" s="11" t="s">
        <v>54</v>
      </c>
      <c r="J53" s="13" t="n">
        <v>2015</v>
      </c>
      <c r="K53" s="13" t="n">
        <v>2015</v>
      </c>
      <c r="L53" s="13"/>
      <c r="M53" s="16" t="s">
        <v>74</v>
      </c>
      <c r="N53" s="12"/>
      <c r="O53" s="14" t="n">
        <f aca="false">IF(K53="","",ROUND((説明!$B$4-DATE(K53,IF(L53="",7,L53),1))/365.25,1))</f>
        <v>11.3</v>
      </c>
      <c r="P53" s="14" t="n">
        <f aca="false">IF(J53="","",IF(AND(J53=K53,L53&lt;&gt;""),O53,ROUND((説明!$B$4-DATE(J53,7,1))/365.25,1)))</f>
        <v>11.3</v>
      </c>
      <c r="Q53" s="12" t="s">
        <v>153</v>
      </c>
      <c r="R53" s="12"/>
      <c r="S53" s="10" t="s">
        <v>108</v>
      </c>
      <c r="T53" s="12" t="s">
        <v>68</v>
      </c>
      <c r="U53" s="12"/>
    </row>
    <row r="54" customFormat="false" ht="29.85" hidden="false" customHeight="false" outlineLevel="0" collapsed="false">
      <c r="A54" s="10" t="n">
        <v>53</v>
      </c>
      <c r="B54" s="11" t="s">
        <v>47</v>
      </c>
      <c r="C54" s="11" t="s">
        <v>262</v>
      </c>
      <c r="D54" s="12" t="s">
        <v>263</v>
      </c>
      <c r="E54" s="12" t="s">
        <v>270</v>
      </c>
      <c r="F54" s="12"/>
      <c r="G54" s="12" t="s">
        <v>88</v>
      </c>
      <c r="H54" s="11" t="s">
        <v>158</v>
      </c>
      <c r="I54" s="11" t="s">
        <v>54</v>
      </c>
      <c r="J54" s="13" t="n">
        <v>2013</v>
      </c>
      <c r="K54" s="13" t="n">
        <v>2017</v>
      </c>
      <c r="L54" s="13"/>
      <c r="M54" s="10" t="n">
        <v>2013</v>
      </c>
      <c r="N54" s="12"/>
      <c r="O54" s="14" t="n">
        <f aca="false">IF(K54="","",ROUND((説明!$B$4-DATE(K54,IF(L54="",7,L54),1))/365.25,1))</f>
        <v>9.3</v>
      </c>
      <c r="P54" s="14" t="n">
        <f aca="false">IF(J54="","",IF(AND(J54=K54,L54&lt;&gt;""),O54,ROUND((説明!$B$4-DATE(J54,7,1))/365.25,1)))</f>
        <v>13.3</v>
      </c>
      <c r="Q54" s="12" t="s">
        <v>153</v>
      </c>
      <c r="R54" s="12"/>
      <c r="S54" s="10" t="s">
        <v>108</v>
      </c>
      <c r="T54" s="12" t="s">
        <v>68</v>
      </c>
      <c r="U54" s="11" t="s">
        <v>271</v>
      </c>
    </row>
    <row r="55" customFormat="false" ht="29.85" hidden="false" customHeight="false" outlineLevel="0" collapsed="false">
      <c r="A55" s="10" t="n">
        <v>54</v>
      </c>
      <c r="B55" s="11" t="s">
        <v>47</v>
      </c>
      <c r="C55" s="11" t="s">
        <v>262</v>
      </c>
      <c r="D55" s="12" t="s">
        <v>263</v>
      </c>
      <c r="E55" s="12" t="s">
        <v>272</v>
      </c>
      <c r="F55" s="12" t="s">
        <v>273</v>
      </c>
      <c r="G55" s="11" t="s">
        <v>274</v>
      </c>
      <c r="H55" s="12" t="s">
        <v>151</v>
      </c>
      <c r="I55" s="11" t="s">
        <v>204</v>
      </c>
      <c r="J55" s="13" t="n">
        <v>2026</v>
      </c>
      <c r="K55" s="13" t="n">
        <v>2026</v>
      </c>
      <c r="L55" s="13" t="n">
        <v>3</v>
      </c>
      <c r="M55" s="16" t="s">
        <v>74</v>
      </c>
      <c r="N55" s="12"/>
      <c r="O55" s="14" t="n">
        <f aca="false">IF(K55="","",ROUND((説明!$B$4-DATE(K55,IF(L55="",7,L55),1))/365.25,1))</f>
        <v>0.6</v>
      </c>
      <c r="P55" s="14" t="n">
        <f aca="false">IF(J55="","",IF(AND(J55=K55,L55&lt;&gt;""),O55,ROUND((説明!$B$4-DATE(J55,7,1))/365.25,1)))</f>
        <v>0.6</v>
      </c>
      <c r="Q55" s="12" t="s">
        <v>153</v>
      </c>
      <c r="R55" s="11" t="s">
        <v>275</v>
      </c>
      <c r="S55" s="10" t="s">
        <v>58</v>
      </c>
      <c r="T55" s="15" t="s">
        <v>276</v>
      </c>
      <c r="U55" s="11" t="s">
        <v>277</v>
      </c>
    </row>
    <row r="56" customFormat="false" ht="29.85" hidden="false" customHeight="false" outlineLevel="0" collapsed="false">
      <c r="A56" s="10" t="n">
        <v>55</v>
      </c>
      <c r="B56" s="11" t="s">
        <v>47</v>
      </c>
      <c r="C56" s="11" t="s">
        <v>262</v>
      </c>
      <c r="D56" s="12" t="s">
        <v>263</v>
      </c>
      <c r="E56" s="12" t="s">
        <v>278</v>
      </c>
      <c r="F56" s="12"/>
      <c r="G56" s="11" t="s">
        <v>279</v>
      </c>
      <c r="H56" s="11" t="s">
        <v>117</v>
      </c>
      <c r="I56" s="11" t="s">
        <v>105</v>
      </c>
      <c r="J56" s="13"/>
      <c r="K56" s="13" t="n">
        <v>2019</v>
      </c>
      <c r="L56" s="13"/>
      <c r="M56" s="10"/>
      <c r="N56" s="12"/>
      <c r="O56" s="14" t="n">
        <f aca="false">IF(K56="","",ROUND((説明!$B$4-DATE(K56,IF(L56="",7,L56),1))/365.25,1))</f>
        <v>7.3</v>
      </c>
      <c r="P56" s="14" t="str">
        <f aca="false">IF(J56="","",IF(AND(J56=K56,L56&lt;&gt;""),O56,ROUND((説明!$B$4-DATE(J56,7,1))/365.25,1)))</f>
        <v/>
      </c>
      <c r="Q56" s="12" t="s">
        <v>153</v>
      </c>
      <c r="R56" s="12"/>
      <c r="S56" s="10" t="s">
        <v>108</v>
      </c>
      <c r="T56" s="12" t="s">
        <v>68</v>
      </c>
      <c r="U56" s="11" t="s">
        <v>280</v>
      </c>
    </row>
    <row r="57" customFormat="false" ht="29.85" hidden="false" customHeight="false" outlineLevel="0" collapsed="false">
      <c r="A57" s="10" t="n">
        <v>56</v>
      </c>
      <c r="B57" s="11" t="s">
        <v>47</v>
      </c>
      <c r="C57" s="11" t="s">
        <v>262</v>
      </c>
      <c r="D57" s="12" t="s">
        <v>263</v>
      </c>
      <c r="E57" s="12" t="s">
        <v>281</v>
      </c>
      <c r="F57" s="12"/>
      <c r="G57" s="12" t="s">
        <v>88</v>
      </c>
      <c r="H57" s="11" t="s">
        <v>158</v>
      </c>
      <c r="I57" s="11" t="s">
        <v>54</v>
      </c>
      <c r="J57" s="13" t="n">
        <v>2019</v>
      </c>
      <c r="K57" s="13" t="n">
        <v>2019</v>
      </c>
      <c r="L57" s="13"/>
      <c r="M57" s="16" t="s">
        <v>74</v>
      </c>
      <c r="N57" s="12"/>
      <c r="O57" s="14" t="n">
        <f aca="false">IF(K57="","",ROUND((説明!$B$4-DATE(K57,IF(L57="",7,L57),1))/365.25,1))</f>
        <v>7.3</v>
      </c>
      <c r="P57" s="14" t="n">
        <f aca="false">IF(J57="","",IF(AND(J57=K57,L57&lt;&gt;""),O57,ROUND((説明!$B$4-DATE(J57,7,1))/365.25,1)))</f>
        <v>7.3</v>
      </c>
      <c r="Q57" s="12" t="s">
        <v>164</v>
      </c>
      <c r="R57" s="12"/>
      <c r="S57" s="10" t="s">
        <v>108</v>
      </c>
      <c r="T57" s="12" t="s">
        <v>68</v>
      </c>
      <c r="U57" s="12"/>
    </row>
    <row r="58" customFormat="false" ht="29.85" hidden="false" customHeight="false" outlineLevel="0" collapsed="false">
      <c r="A58" s="10" t="n">
        <v>57</v>
      </c>
      <c r="B58" s="11" t="s">
        <v>47</v>
      </c>
      <c r="C58" s="11" t="s">
        <v>282</v>
      </c>
      <c r="D58" s="12" t="s">
        <v>283</v>
      </c>
      <c r="E58" s="12" t="s">
        <v>284</v>
      </c>
      <c r="F58" s="12"/>
      <c r="G58" s="11" t="s">
        <v>116</v>
      </c>
      <c r="H58" s="11" t="s">
        <v>117</v>
      </c>
      <c r="I58" s="11" t="s">
        <v>285</v>
      </c>
      <c r="J58" s="13" t="n">
        <v>2009</v>
      </c>
      <c r="K58" s="13" t="n">
        <v>2018</v>
      </c>
      <c r="L58" s="13"/>
      <c r="M58" s="10" t="n">
        <v>2012</v>
      </c>
      <c r="N58" s="12"/>
      <c r="O58" s="14" t="n">
        <f aca="false">IF(K58="","",ROUND((説明!$B$4-DATE(K58,IF(L58="",7,L58),1))/365.25,1))</f>
        <v>8.3</v>
      </c>
      <c r="P58" s="14" t="n">
        <f aca="false">IF(J58="","",IF(AND(J58=K58,L58&lt;&gt;""),O58,ROUND((説明!$B$4-DATE(J58,7,1))/365.25,1)))</f>
        <v>17.3</v>
      </c>
      <c r="Q58" s="12" t="s">
        <v>106</v>
      </c>
      <c r="R58" s="11" t="s">
        <v>286</v>
      </c>
      <c r="S58" s="10" t="s">
        <v>108</v>
      </c>
      <c r="T58" s="12" t="s">
        <v>68</v>
      </c>
      <c r="U58" s="11" t="s">
        <v>287</v>
      </c>
    </row>
    <row r="59" customFormat="false" ht="15" hidden="false" customHeight="false" outlineLevel="0" collapsed="false">
      <c r="A59" s="10" t="n">
        <v>58</v>
      </c>
      <c r="B59" s="11" t="s">
        <v>47</v>
      </c>
      <c r="C59" s="11" t="s">
        <v>282</v>
      </c>
      <c r="D59" s="12" t="s">
        <v>283</v>
      </c>
      <c r="E59" s="12" t="s">
        <v>288</v>
      </c>
      <c r="F59" s="12"/>
      <c r="G59" s="12" t="s">
        <v>88</v>
      </c>
      <c r="H59" s="11" t="s">
        <v>117</v>
      </c>
      <c r="I59" s="11" t="s">
        <v>123</v>
      </c>
      <c r="J59" s="13" t="n">
        <v>2025</v>
      </c>
      <c r="K59" s="13" t="n">
        <v>2025</v>
      </c>
      <c r="L59" s="13" t="n">
        <v>9</v>
      </c>
      <c r="M59" s="16" t="s">
        <v>74</v>
      </c>
      <c r="N59" s="12"/>
      <c r="O59" s="14" t="n">
        <f aca="false">IF(K59="","",ROUND((説明!$B$4-DATE(K59,IF(L59="",7,L59),1))/365.25,1))</f>
        <v>1.1</v>
      </c>
      <c r="P59" s="14" t="n">
        <f aca="false">IF(J59="","",IF(AND(J59=K59,L59&lt;&gt;""),O59,ROUND((説明!$B$4-DATE(J59,7,1))/365.25,1)))</f>
        <v>1.1</v>
      </c>
      <c r="Q59" s="12" t="s">
        <v>153</v>
      </c>
      <c r="R59" s="12"/>
      <c r="S59" s="10" t="s">
        <v>58</v>
      </c>
      <c r="T59" s="15" t="s">
        <v>289</v>
      </c>
      <c r="U59" s="12" t="s">
        <v>290</v>
      </c>
    </row>
    <row r="60" customFormat="false" ht="29.85" hidden="false" customHeight="false" outlineLevel="0" collapsed="false">
      <c r="A60" s="10" t="n">
        <v>59</v>
      </c>
      <c r="B60" s="11" t="s">
        <v>47</v>
      </c>
      <c r="C60" s="11" t="s">
        <v>282</v>
      </c>
      <c r="D60" s="12" t="s">
        <v>283</v>
      </c>
      <c r="E60" s="12" t="s">
        <v>291</v>
      </c>
      <c r="F60" s="12"/>
      <c r="G60" s="11" t="s">
        <v>292</v>
      </c>
      <c r="H60" s="11" t="s">
        <v>117</v>
      </c>
      <c r="I60" s="11" t="s">
        <v>123</v>
      </c>
      <c r="J60" s="13"/>
      <c r="K60" s="13" t="n">
        <v>2019</v>
      </c>
      <c r="L60" s="13"/>
      <c r="M60" s="10"/>
      <c r="N60" s="12"/>
      <c r="O60" s="14" t="n">
        <f aca="false">IF(K60="","",ROUND((説明!$B$4-DATE(K60,IF(L60="",7,L60),1))/365.25,1))</f>
        <v>7.3</v>
      </c>
      <c r="P60" s="14" t="str">
        <f aca="false">IF(J60="","",IF(AND(J60=K60,L60&lt;&gt;""),O60,ROUND((説明!$B$4-DATE(J60,7,1))/365.25,1)))</f>
        <v/>
      </c>
      <c r="Q60" s="12" t="s">
        <v>153</v>
      </c>
      <c r="R60" s="12"/>
      <c r="S60" s="10" t="s">
        <v>108</v>
      </c>
      <c r="T60" s="12" t="s">
        <v>68</v>
      </c>
      <c r="U60" s="12"/>
    </row>
    <row r="61" customFormat="false" ht="29.85" hidden="false" customHeight="false" outlineLevel="0" collapsed="false">
      <c r="A61" s="10" t="n">
        <v>60</v>
      </c>
      <c r="B61" s="11" t="s">
        <v>47</v>
      </c>
      <c r="C61" s="11" t="s">
        <v>282</v>
      </c>
      <c r="D61" s="12" t="s">
        <v>283</v>
      </c>
      <c r="E61" s="12" t="s">
        <v>293</v>
      </c>
      <c r="F61" s="12"/>
      <c r="G61" s="11" t="s">
        <v>116</v>
      </c>
      <c r="H61" s="11" t="s">
        <v>117</v>
      </c>
      <c r="I61" s="11" t="s">
        <v>285</v>
      </c>
      <c r="J61" s="13" t="n">
        <v>2014</v>
      </c>
      <c r="K61" s="13" t="n">
        <v>2014</v>
      </c>
      <c r="L61" s="13"/>
      <c r="M61" s="16" t="s">
        <v>74</v>
      </c>
      <c r="N61" s="12"/>
      <c r="O61" s="14" t="n">
        <f aca="false">IF(K61="","",ROUND((説明!$B$4-DATE(K61,IF(L61="",7,L61),1))/365.25,1))</f>
        <v>12.3</v>
      </c>
      <c r="P61" s="14" t="n">
        <f aca="false">IF(J61="","",IF(AND(J61=K61,L61&lt;&gt;""),O61,ROUND((説明!$B$4-DATE(J61,7,1))/365.25,1)))</f>
        <v>12.3</v>
      </c>
      <c r="Q61" s="12" t="s">
        <v>153</v>
      </c>
      <c r="R61" s="11" t="s">
        <v>286</v>
      </c>
      <c r="S61" s="10" t="s">
        <v>108</v>
      </c>
      <c r="T61" s="12" t="s">
        <v>68</v>
      </c>
      <c r="U61" s="12"/>
    </row>
    <row r="62" customFormat="false" ht="15" hidden="false" customHeight="false" outlineLevel="0" collapsed="false">
      <c r="A62" s="10" t="n">
        <v>61</v>
      </c>
      <c r="B62" s="11" t="s">
        <v>47</v>
      </c>
      <c r="C62" s="11" t="s">
        <v>282</v>
      </c>
      <c r="D62" s="12" t="s">
        <v>283</v>
      </c>
      <c r="E62" s="12" t="s">
        <v>294</v>
      </c>
      <c r="F62" s="12"/>
      <c r="G62" s="12" t="s">
        <v>88</v>
      </c>
      <c r="H62" s="11" t="s">
        <v>117</v>
      </c>
      <c r="I62" s="11" t="s">
        <v>259</v>
      </c>
      <c r="J62" s="13"/>
      <c r="K62" s="13" t="n">
        <v>2019</v>
      </c>
      <c r="L62" s="13"/>
      <c r="M62" s="10"/>
      <c r="N62" s="12"/>
      <c r="O62" s="14" t="n">
        <f aca="false">IF(K62="","",ROUND((説明!$B$4-DATE(K62,IF(L62="",7,L62),1))/365.25,1))</f>
        <v>7.3</v>
      </c>
      <c r="P62" s="14" t="str">
        <f aca="false">IF(J62="","",IF(AND(J62=K62,L62&lt;&gt;""),O62,ROUND((説明!$B$4-DATE(J62,7,1))/365.25,1)))</f>
        <v/>
      </c>
      <c r="Q62" s="12" t="s">
        <v>153</v>
      </c>
      <c r="R62" s="12"/>
      <c r="S62" s="10" t="s">
        <v>108</v>
      </c>
      <c r="T62" s="12" t="s">
        <v>68</v>
      </c>
      <c r="U62" s="12"/>
    </row>
    <row r="63" customFormat="false" ht="29.85" hidden="false" customHeight="false" outlineLevel="0" collapsed="false">
      <c r="A63" s="10" t="n">
        <v>62</v>
      </c>
      <c r="B63" s="11" t="s">
        <v>47</v>
      </c>
      <c r="C63" s="11" t="s">
        <v>282</v>
      </c>
      <c r="D63" s="12" t="s">
        <v>283</v>
      </c>
      <c r="E63" s="12" t="s">
        <v>295</v>
      </c>
      <c r="F63" s="12"/>
      <c r="G63" s="12" t="s">
        <v>229</v>
      </c>
      <c r="H63" s="11" t="s">
        <v>296</v>
      </c>
      <c r="I63" s="11" t="s">
        <v>123</v>
      </c>
      <c r="J63" s="13" t="n">
        <v>2020</v>
      </c>
      <c r="K63" s="13" t="n">
        <v>2020</v>
      </c>
      <c r="L63" s="13"/>
      <c r="M63" s="16" t="s">
        <v>74</v>
      </c>
      <c r="N63" s="12"/>
      <c r="O63" s="14" t="n">
        <f aca="false">IF(K63="","",ROUND((説明!$B$4-DATE(K63,IF(L63="",7,L63),1))/365.25,1))</f>
        <v>6.3</v>
      </c>
      <c r="P63" s="14" t="n">
        <f aca="false">IF(J63="","",IF(AND(J63=K63,L63&lt;&gt;""),O63,ROUND((説明!$B$4-DATE(J63,7,1))/365.25,1)))</f>
        <v>6.3</v>
      </c>
      <c r="Q63" s="12" t="s">
        <v>153</v>
      </c>
      <c r="R63" s="12"/>
      <c r="S63" s="10" t="s">
        <v>108</v>
      </c>
      <c r="T63" s="12" t="s">
        <v>68</v>
      </c>
      <c r="U63" s="12"/>
    </row>
    <row r="64" customFormat="false" ht="15" hidden="false" customHeight="false" outlineLevel="0" collapsed="false">
      <c r="A64" s="10" t="n">
        <v>63</v>
      </c>
      <c r="B64" s="11" t="s">
        <v>47</v>
      </c>
      <c r="C64" s="11" t="s">
        <v>297</v>
      </c>
      <c r="D64" s="12" t="s">
        <v>298</v>
      </c>
      <c r="E64" s="12" t="s">
        <v>299</v>
      </c>
      <c r="F64" s="12"/>
      <c r="G64" s="12" t="s">
        <v>88</v>
      </c>
      <c r="H64" s="11" t="s">
        <v>300</v>
      </c>
      <c r="I64" s="11" t="s">
        <v>259</v>
      </c>
      <c r="J64" s="13"/>
      <c r="K64" s="13" t="n">
        <v>2025</v>
      </c>
      <c r="L64" s="13"/>
      <c r="M64" s="10"/>
      <c r="N64" s="12"/>
      <c r="O64" s="14" t="n">
        <f aca="false">IF(K64="","",ROUND((説明!$B$4-DATE(K64,IF(L64="",7,L64),1))/365.25,1))</f>
        <v>1.3</v>
      </c>
      <c r="P64" s="14" t="str">
        <f aca="false">IF(J64="","",IF(AND(J64=K64,L64&lt;&gt;""),O64,ROUND((説明!$B$4-DATE(J64,7,1))/365.25,1)))</f>
        <v/>
      </c>
      <c r="Q64" s="12" t="s">
        <v>164</v>
      </c>
      <c r="R64" s="12"/>
      <c r="S64" s="10" t="s">
        <v>108</v>
      </c>
      <c r="T64" s="12" t="s">
        <v>68</v>
      </c>
      <c r="U64" s="11" t="s">
        <v>301</v>
      </c>
    </row>
    <row r="65" customFormat="false" ht="15" hidden="false" customHeight="false" outlineLevel="0" collapsed="false">
      <c r="A65" s="10" t="n">
        <v>64</v>
      </c>
      <c r="B65" s="11" t="s">
        <v>47</v>
      </c>
      <c r="C65" s="11" t="s">
        <v>297</v>
      </c>
      <c r="D65" s="12" t="s">
        <v>298</v>
      </c>
      <c r="E65" s="12" t="s">
        <v>302</v>
      </c>
      <c r="F65" s="12"/>
      <c r="G65" s="12" t="s">
        <v>88</v>
      </c>
      <c r="H65" s="11" t="s">
        <v>117</v>
      </c>
      <c r="I65" s="11" t="s">
        <v>259</v>
      </c>
      <c r="J65" s="13"/>
      <c r="K65" s="13" t="n">
        <v>2018</v>
      </c>
      <c r="L65" s="13"/>
      <c r="M65" s="10"/>
      <c r="N65" s="12"/>
      <c r="O65" s="14" t="n">
        <f aca="false">IF(K65="","",ROUND((説明!$B$4-DATE(K65,IF(L65="",7,L65),1))/365.25,1))</f>
        <v>8.3</v>
      </c>
      <c r="P65" s="14" t="str">
        <f aca="false">IF(J65="","",IF(AND(J65=K65,L65&lt;&gt;""),O65,ROUND((説明!$B$4-DATE(J65,7,1))/365.25,1)))</f>
        <v/>
      </c>
      <c r="Q65" s="12" t="s">
        <v>164</v>
      </c>
      <c r="R65" s="12"/>
      <c r="S65" s="10" t="s">
        <v>108</v>
      </c>
      <c r="T65" s="12" t="s">
        <v>68</v>
      </c>
      <c r="U65" s="11" t="s">
        <v>301</v>
      </c>
    </row>
    <row r="66" customFormat="false" ht="29.85" hidden="false" customHeight="false" outlineLevel="0" collapsed="false">
      <c r="A66" s="10" t="n">
        <v>65</v>
      </c>
      <c r="B66" s="11" t="s">
        <v>303</v>
      </c>
      <c r="C66" s="12" t="s">
        <v>304</v>
      </c>
      <c r="D66" s="12" t="s">
        <v>304</v>
      </c>
      <c r="E66" s="12" t="s">
        <v>305</v>
      </c>
      <c r="F66" s="11" t="s">
        <v>306</v>
      </c>
      <c r="G66" s="11" t="s">
        <v>116</v>
      </c>
      <c r="H66" s="12" t="s">
        <v>151</v>
      </c>
      <c r="I66" s="11" t="s">
        <v>307</v>
      </c>
      <c r="J66" s="13" t="n">
        <v>2023</v>
      </c>
      <c r="K66" s="13" t="n">
        <v>2023</v>
      </c>
      <c r="L66" s="13" t="n">
        <v>7</v>
      </c>
      <c r="M66" s="16" t="s">
        <v>74</v>
      </c>
      <c r="N66" s="12"/>
      <c r="O66" s="14" t="n">
        <f aca="false">IF(K66="","",ROUND((説明!$B$4-DATE(K66,IF(L66="",7,L66),1))/365.25,1))</f>
        <v>3.3</v>
      </c>
      <c r="P66" s="14" t="n">
        <f aca="false">IF(J66="","",IF(AND(J66=K66,L66&lt;&gt;""),O66,ROUND((説明!$B$4-DATE(J66,7,1))/365.25,1)))</f>
        <v>3.3</v>
      </c>
      <c r="Q66" s="12" t="s">
        <v>99</v>
      </c>
      <c r="R66" s="11" t="s">
        <v>308</v>
      </c>
      <c r="S66" s="10" t="s">
        <v>58</v>
      </c>
      <c r="T66" s="15" t="s">
        <v>309</v>
      </c>
      <c r="U66" s="12" t="s">
        <v>310</v>
      </c>
    </row>
    <row r="67" customFormat="false" ht="29.85" hidden="false" customHeight="false" outlineLevel="0" collapsed="false">
      <c r="A67" s="10" t="n">
        <v>66</v>
      </c>
      <c r="B67" s="11" t="s">
        <v>303</v>
      </c>
      <c r="C67" s="12" t="s">
        <v>304</v>
      </c>
      <c r="D67" s="12" t="s">
        <v>304</v>
      </c>
      <c r="E67" s="12" t="s">
        <v>311</v>
      </c>
      <c r="F67" s="11" t="s">
        <v>312</v>
      </c>
      <c r="G67" s="12" t="s">
        <v>88</v>
      </c>
      <c r="H67" s="12" t="s">
        <v>151</v>
      </c>
      <c r="I67" s="11" t="s">
        <v>307</v>
      </c>
      <c r="J67" s="13" t="n">
        <v>2022</v>
      </c>
      <c r="K67" s="13" t="n">
        <v>2022</v>
      </c>
      <c r="L67" s="13" t="n">
        <v>10</v>
      </c>
      <c r="M67" s="16" t="s">
        <v>74</v>
      </c>
      <c r="N67" s="12"/>
      <c r="O67" s="14" t="n">
        <f aca="false">IF(K67="","",ROUND((説明!$B$4-DATE(K67,IF(L67="",7,L67),1))/365.25,1))</f>
        <v>4</v>
      </c>
      <c r="P67" s="14" t="n">
        <f aca="false">IF(J67="","",IF(AND(J67=K67,L67&lt;&gt;""),O67,ROUND((説明!$B$4-DATE(J67,7,1))/365.25,1)))</f>
        <v>4</v>
      </c>
      <c r="Q67" s="12" t="s">
        <v>99</v>
      </c>
      <c r="R67" s="11" t="s">
        <v>313</v>
      </c>
      <c r="S67" s="10" t="s">
        <v>67</v>
      </c>
      <c r="T67" s="15" t="s">
        <v>314</v>
      </c>
      <c r="U67" s="12" t="s">
        <v>315</v>
      </c>
    </row>
    <row r="68" customFormat="false" ht="29.85" hidden="false" customHeight="false" outlineLevel="0" collapsed="false">
      <c r="A68" s="10" t="n">
        <v>67</v>
      </c>
      <c r="B68" s="11" t="s">
        <v>303</v>
      </c>
      <c r="C68" s="12" t="s">
        <v>304</v>
      </c>
      <c r="D68" s="12" t="s">
        <v>304</v>
      </c>
      <c r="E68" s="12" t="s">
        <v>316</v>
      </c>
      <c r="F68" s="11" t="s">
        <v>317</v>
      </c>
      <c r="G68" s="12" t="s">
        <v>88</v>
      </c>
      <c r="H68" s="12" t="s">
        <v>318</v>
      </c>
      <c r="I68" s="11" t="s">
        <v>54</v>
      </c>
      <c r="J68" s="13" t="n">
        <v>2024</v>
      </c>
      <c r="K68" s="13" t="n">
        <v>2024</v>
      </c>
      <c r="L68" s="13" t="n">
        <v>8</v>
      </c>
      <c r="M68" s="16" t="s">
        <v>74</v>
      </c>
      <c r="N68" s="12" t="s">
        <v>319</v>
      </c>
      <c r="O68" s="14" t="n">
        <f aca="false">IF(K68="","",ROUND((説明!$B$4-DATE(K68,IF(L68="",7,L68),1))/365.25,1))</f>
        <v>2.2</v>
      </c>
      <c r="P68" s="14" t="n">
        <f aca="false">IF(J68="","",IF(AND(J68=K68,L68&lt;&gt;""),O68,ROUND((説明!$B$4-DATE(J68,7,1))/365.25,1)))</f>
        <v>2.2</v>
      </c>
      <c r="Q68" s="12" t="s">
        <v>106</v>
      </c>
      <c r="R68" s="11" t="s">
        <v>320</v>
      </c>
      <c r="S68" s="10" t="s">
        <v>58</v>
      </c>
      <c r="T68" s="15" t="s">
        <v>321</v>
      </c>
      <c r="U68" s="12" t="s">
        <v>322</v>
      </c>
    </row>
    <row r="69" customFormat="false" ht="29.85" hidden="false" customHeight="false" outlineLevel="0" collapsed="false">
      <c r="A69" s="10" t="n">
        <v>68</v>
      </c>
      <c r="B69" s="11" t="s">
        <v>303</v>
      </c>
      <c r="C69" s="12" t="s">
        <v>304</v>
      </c>
      <c r="D69" s="12" t="s">
        <v>304</v>
      </c>
      <c r="E69" s="12" t="s">
        <v>323</v>
      </c>
      <c r="F69" s="11" t="s">
        <v>324</v>
      </c>
      <c r="G69" s="12" t="s">
        <v>88</v>
      </c>
      <c r="H69" s="12" t="s">
        <v>151</v>
      </c>
      <c r="I69" s="11" t="s">
        <v>204</v>
      </c>
      <c r="J69" s="13" t="n">
        <v>2025</v>
      </c>
      <c r="K69" s="13" t="n">
        <v>2025</v>
      </c>
      <c r="L69" s="13" t="n">
        <v>1</v>
      </c>
      <c r="M69" s="16" t="s">
        <v>74</v>
      </c>
      <c r="N69" s="12" t="s">
        <v>325</v>
      </c>
      <c r="O69" s="14" t="n">
        <f aca="false">IF(K69="","",ROUND((説明!$B$4-DATE(K69,IF(L69="",7,L69),1))/365.25,1))</f>
        <v>1.7</v>
      </c>
      <c r="P69" s="14" t="n">
        <f aca="false">IF(J69="","",IF(AND(J69=K69,L69&lt;&gt;""),O69,ROUND((説明!$B$4-DATE(J69,7,1))/365.25,1)))</f>
        <v>1.7</v>
      </c>
      <c r="Q69" s="12" t="s">
        <v>106</v>
      </c>
      <c r="R69" s="12"/>
      <c r="S69" s="10" t="s">
        <v>67</v>
      </c>
      <c r="T69" s="15" t="s">
        <v>326</v>
      </c>
      <c r="U69" s="12" t="s">
        <v>327</v>
      </c>
    </row>
    <row r="70" customFormat="false" ht="15" hidden="false" customHeight="false" outlineLevel="0" collapsed="false">
      <c r="A70" s="10" t="n">
        <v>69</v>
      </c>
      <c r="B70" s="11" t="s">
        <v>303</v>
      </c>
      <c r="C70" s="12" t="s">
        <v>304</v>
      </c>
      <c r="D70" s="12" t="s">
        <v>304</v>
      </c>
      <c r="E70" s="12" t="s">
        <v>328</v>
      </c>
      <c r="F70" s="11" t="s">
        <v>329</v>
      </c>
      <c r="G70" s="11" t="s">
        <v>80</v>
      </c>
      <c r="H70" s="12" t="s">
        <v>318</v>
      </c>
      <c r="I70" s="11" t="s">
        <v>54</v>
      </c>
      <c r="J70" s="13" t="n">
        <v>2025</v>
      </c>
      <c r="K70" s="13" t="n">
        <v>2025</v>
      </c>
      <c r="L70" s="13" t="n">
        <v>8</v>
      </c>
      <c r="M70" s="16" t="s">
        <v>74</v>
      </c>
      <c r="N70" s="12" t="s">
        <v>330</v>
      </c>
      <c r="O70" s="14" t="n">
        <f aca="false">IF(K70="","",ROUND((説明!$B$4-DATE(K70,IF(L70="",7,L70),1))/365.25,1))</f>
        <v>1.2</v>
      </c>
      <c r="P70" s="14" t="n">
        <f aca="false">IF(J70="","",IF(AND(J70=K70,L70&lt;&gt;""),O70,ROUND((説明!$B$4-DATE(J70,7,1))/365.25,1)))</f>
        <v>1.2</v>
      </c>
      <c r="Q70" s="12" t="s">
        <v>106</v>
      </c>
      <c r="R70" s="12"/>
      <c r="S70" s="10" t="s">
        <v>58</v>
      </c>
      <c r="T70" s="15" t="s">
        <v>331</v>
      </c>
      <c r="U70" s="12" t="s">
        <v>332</v>
      </c>
    </row>
    <row r="71" customFormat="false" ht="29.85" hidden="false" customHeight="false" outlineLevel="0" collapsed="false">
      <c r="A71" s="10" t="n">
        <v>70</v>
      </c>
      <c r="B71" s="11" t="s">
        <v>303</v>
      </c>
      <c r="C71" s="12" t="s">
        <v>304</v>
      </c>
      <c r="D71" s="12" t="s">
        <v>304</v>
      </c>
      <c r="E71" s="12" t="s">
        <v>333</v>
      </c>
      <c r="F71" s="11" t="s">
        <v>334</v>
      </c>
      <c r="G71" s="12" t="s">
        <v>88</v>
      </c>
      <c r="H71" s="12" t="s">
        <v>151</v>
      </c>
      <c r="I71" s="11" t="s">
        <v>204</v>
      </c>
      <c r="J71" s="13" t="n">
        <v>2026</v>
      </c>
      <c r="K71" s="13" t="n">
        <v>2026</v>
      </c>
      <c r="L71" s="13" t="n">
        <v>3</v>
      </c>
      <c r="M71" s="16" t="s">
        <v>74</v>
      </c>
      <c r="N71" s="12"/>
      <c r="O71" s="14" t="n">
        <f aca="false">IF(K71="","",ROUND((説明!$B$4-DATE(K71,IF(L71="",7,L71),1))/365.25,1))</f>
        <v>0.6</v>
      </c>
      <c r="P71" s="14" t="n">
        <f aca="false">IF(J71="","",IF(AND(J71=K71,L71&lt;&gt;""),O71,ROUND((説明!$B$4-DATE(J71,7,1))/365.25,1)))</f>
        <v>0.6</v>
      </c>
      <c r="Q71" s="12" t="s">
        <v>106</v>
      </c>
      <c r="R71" s="12"/>
      <c r="S71" s="10" t="s">
        <v>58</v>
      </c>
      <c r="T71" s="15" t="s">
        <v>335</v>
      </c>
      <c r="U71" s="12" t="s">
        <v>336</v>
      </c>
    </row>
    <row r="72" customFormat="false" ht="15" hidden="false" customHeight="false" outlineLevel="0" collapsed="false">
      <c r="A72" s="10" t="n">
        <v>71</v>
      </c>
      <c r="B72" s="11" t="s">
        <v>303</v>
      </c>
      <c r="C72" s="12" t="s">
        <v>304</v>
      </c>
      <c r="D72" s="12" t="s">
        <v>304</v>
      </c>
      <c r="E72" s="12" t="s">
        <v>337</v>
      </c>
      <c r="F72" s="11" t="s">
        <v>338</v>
      </c>
      <c r="G72" s="12" t="s">
        <v>122</v>
      </c>
      <c r="H72" s="12" t="s">
        <v>151</v>
      </c>
      <c r="I72" s="11" t="s">
        <v>204</v>
      </c>
      <c r="J72" s="13" t="n">
        <v>2024</v>
      </c>
      <c r="K72" s="13" t="n">
        <v>2024</v>
      </c>
      <c r="L72" s="13" t="n">
        <v>9</v>
      </c>
      <c r="M72" s="16" t="s">
        <v>74</v>
      </c>
      <c r="N72" s="12"/>
      <c r="O72" s="14" t="n">
        <f aca="false">IF(K72="","",ROUND((説明!$B$4-DATE(K72,IF(L72="",7,L72),1))/365.25,1))</f>
        <v>2.1</v>
      </c>
      <c r="P72" s="14" t="n">
        <f aca="false">IF(J72="","",IF(AND(J72=K72,L72&lt;&gt;""),O72,ROUND((説明!$B$4-DATE(J72,7,1))/365.25,1)))</f>
        <v>2.1</v>
      </c>
      <c r="Q72" s="12" t="s">
        <v>106</v>
      </c>
      <c r="R72" s="12"/>
      <c r="S72" s="10" t="s">
        <v>58</v>
      </c>
      <c r="T72" s="15" t="s">
        <v>339</v>
      </c>
      <c r="U72" s="12"/>
    </row>
    <row r="73" customFormat="false" ht="15" hidden="false" customHeight="false" outlineLevel="0" collapsed="false">
      <c r="A73" s="10" t="n">
        <v>72</v>
      </c>
      <c r="B73" s="11" t="s">
        <v>303</v>
      </c>
      <c r="C73" s="12" t="s">
        <v>304</v>
      </c>
      <c r="D73" s="12" t="s">
        <v>304</v>
      </c>
      <c r="E73" s="12" t="s">
        <v>340</v>
      </c>
      <c r="F73" s="11" t="s">
        <v>341</v>
      </c>
      <c r="G73" s="11" t="s">
        <v>80</v>
      </c>
      <c r="H73" s="12" t="s">
        <v>151</v>
      </c>
      <c r="I73" s="11" t="s">
        <v>204</v>
      </c>
      <c r="J73" s="13" t="n">
        <v>2023</v>
      </c>
      <c r="K73" s="13" t="n">
        <v>2023</v>
      </c>
      <c r="L73" s="13" t="n">
        <v>9</v>
      </c>
      <c r="M73" s="16" t="s">
        <v>74</v>
      </c>
      <c r="N73" s="12"/>
      <c r="O73" s="14" t="n">
        <f aca="false">IF(K73="","",ROUND((説明!$B$4-DATE(K73,IF(L73="",7,L73),1))/365.25,1))</f>
        <v>3.1</v>
      </c>
      <c r="P73" s="14" t="n">
        <f aca="false">IF(J73="","",IF(AND(J73=K73,L73&lt;&gt;""),O73,ROUND((説明!$B$4-DATE(J73,7,1))/365.25,1)))</f>
        <v>3.1</v>
      </c>
      <c r="Q73" s="12" t="s">
        <v>153</v>
      </c>
      <c r="R73" s="12"/>
      <c r="S73" s="10" t="s">
        <v>58</v>
      </c>
      <c r="T73" s="15" t="s">
        <v>342</v>
      </c>
      <c r="U73" s="12" t="s">
        <v>343</v>
      </c>
    </row>
    <row r="74" customFormat="false" ht="26.85" hidden="false" customHeight="false" outlineLevel="0" collapsed="false">
      <c r="A74" s="10" t="n">
        <v>73</v>
      </c>
      <c r="B74" s="11" t="s">
        <v>303</v>
      </c>
      <c r="C74" s="12" t="s">
        <v>304</v>
      </c>
      <c r="D74" s="12" t="s">
        <v>304</v>
      </c>
      <c r="E74" s="12" t="s">
        <v>344</v>
      </c>
      <c r="F74" s="11" t="s">
        <v>345</v>
      </c>
      <c r="G74" s="11" t="s">
        <v>116</v>
      </c>
      <c r="H74" s="12" t="s">
        <v>151</v>
      </c>
      <c r="I74" s="11" t="s">
        <v>204</v>
      </c>
      <c r="J74" s="13" t="n">
        <v>2026</v>
      </c>
      <c r="K74" s="13" t="n">
        <v>2026</v>
      </c>
      <c r="L74" s="13" t="n">
        <v>3</v>
      </c>
      <c r="M74" s="16" t="s">
        <v>74</v>
      </c>
      <c r="N74" s="12"/>
      <c r="O74" s="14" t="n">
        <f aca="false">IF(K74="","",ROUND((説明!$B$4-DATE(K74,IF(L74="",7,L74),1))/365.25,1))</f>
        <v>0.6</v>
      </c>
      <c r="P74" s="14" t="n">
        <f aca="false">IF(J74="","",IF(AND(J74=K74,L74&lt;&gt;""),O74,ROUND((説明!$B$4-DATE(J74,7,1))/365.25,1)))</f>
        <v>0.6</v>
      </c>
      <c r="Q74" s="12" t="s">
        <v>153</v>
      </c>
      <c r="R74" s="12"/>
      <c r="S74" s="10" t="s">
        <v>58</v>
      </c>
      <c r="T74" s="15" t="s">
        <v>346</v>
      </c>
      <c r="U74" s="12"/>
    </row>
    <row r="75" customFormat="false" ht="15" hidden="false" customHeight="false" outlineLevel="0" collapsed="false">
      <c r="A75" s="10" t="n">
        <v>74</v>
      </c>
      <c r="B75" s="11" t="s">
        <v>303</v>
      </c>
      <c r="C75" s="12" t="s">
        <v>304</v>
      </c>
      <c r="D75" s="12" t="s">
        <v>304</v>
      </c>
      <c r="E75" s="12" t="s">
        <v>347</v>
      </c>
      <c r="F75" s="11" t="s">
        <v>348</v>
      </c>
      <c r="G75" s="12" t="s">
        <v>88</v>
      </c>
      <c r="H75" s="12" t="s">
        <v>318</v>
      </c>
      <c r="I75" s="11" t="s">
        <v>349</v>
      </c>
      <c r="J75" s="13" t="n">
        <v>2026</v>
      </c>
      <c r="K75" s="13" t="n">
        <v>2026</v>
      </c>
      <c r="L75" s="13" t="n">
        <v>3</v>
      </c>
      <c r="M75" s="16" t="s">
        <v>74</v>
      </c>
      <c r="N75" s="12" t="s">
        <v>350</v>
      </c>
      <c r="O75" s="14" t="n">
        <f aca="false">IF(K75="","",ROUND((説明!$B$4-DATE(K75,IF(L75="",7,L75),1))/365.25,1))</f>
        <v>0.6</v>
      </c>
      <c r="P75" s="14" t="n">
        <f aca="false">IF(J75="","",IF(AND(J75=K75,L75&lt;&gt;""),O75,ROUND((説明!$B$4-DATE(J75,7,1))/365.25,1)))</f>
        <v>0.6</v>
      </c>
      <c r="Q75" s="12" t="s">
        <v>153</v>
      </c>
      <c r="R75" s="12"/>
      <c r="S75" s="10" t="s">
        <v>58</v>
      </c>
      <c r="T75" s="15" t="s">
        <v>335</v>
      </c>
      <c r="U75" s="12"/>
    </row>
    <row r="76" customFormat="false" ht="15" hidden="false" customHeight="false" outlineLevel="0" collapsed="false">
      <c r="A76" s="10" t="n">
        <v>75</v>
      </c>
      <c r="B76" s="11" t="s">
        <v>303</v>
      </c>
      <c r="C76" s="12" t="s">
        <v>304</v>
      </c>
      <c r="D76" s="12" t="s">
        <v>304</v>
      </c>
      <c r="E76" s="12" t="s">
        <v>351</v>
      </c>
      <c r="F76" s="11" t="s">
        <v>352</v>
      </c>
      <c r="G76" s="11" t="s">
        <v>80</v>
      </c>
      <c r="H76" s="12" t="s">
        <v>353</v>
      </c>
      <c r="I76" s="11" t="s">
        <v>105</v>
      </c>
      <c r="J76" s="13" t="n">
        <v>2026</v>
      </c>
      <c r="K76" s="13" t="n">
        <v>2026</v>
      </c>
      <c r="L76" s="13" t="n">
        <v>3</v>
      </c>
      <c r="M76" s="16" t="s">
        <v>74</v>
      </c>
      <c r="N76" s="12"/>
      <c r="O76" s="14" t="n">
        <f aca="false">IF(K76="","",ROUND((説明!$B$4-DATE(K76,IF(L76="",7,L76),1))/365.25,1))</f>
        <v>0.6</v>
      </c>
      <c r="P76" s="14" t="n">
        <f aca="false">IF(J76="","",IF(AND(J76=K76,L76&lt;&gt;""),O76,ROUND((説明!$B$4-DATE(J76,7,1))/365.25,1)))</f>
        <v>0.6</v>
      </c>
      <c r="Q76" s="12" t="s">
        <v>153</v>
      </c>
      <c r="R76" s="12"/>
      <c r="S76" s="10" t="s">
        <v>58</v>
      </c>
      <c r="T76" s="15" t="s">
        <v>335</v>
      </c>
      <c r="U76" s="12"/>
    </row>
    <row r="77" customFormat="false" ht="15" hidden="false" customHeight="false" outlineLevel="0" collapsed="false">
      <c r="A77" s="10" t="n">
        <v>76</v>
      </c>
      <c r="B77" s="11" t="s">
        <v>303</v>
      </c>
      <c r="C77" s="12" t="s">
        <v>304</v>
      </c>
      <c r="D77" s="12" t="s">
        <v>304</v>
      </c>
      <c r="E77" s="12" t="s">
        <v>354</v>
      </c>
      <c r="F77" s="12"/>
      <c r="G77" s="11" t="s">
        <v>355</v>
      </c>
      <c r="H77" s="12" t="s">
        <v>151</v>
      </c>
      <c r="I77" s="11" t="s">
        <v>204</v>
      </c>
      <c r="J77" s="13" t="n">
        <v>2026</v>
      </c>
      <c r="K77" s="13" t="n">
        <v>2026</v>
      </c>
      <c r="L77" s="13"/>
      <c r="M77" s="16" t="s">
        <v>74</v>
      </c>
      <c r="N77" s="12"/>
      <c r="O77" s="14" t="n">
        <f aca="false">IF(K77="","",ROUND((説明!$B$4-DATE(K77,IF(L77="",7,L77),1))/365.25,1))</f>
        <v>0.3</v>
      </c>
      <c r="P77" s="14" t="n">
        <f aca="false">IF(J77="","",IF(AND(J77=K77,L77&lt;&gt;""),O77,ROUND((説明!$B$4-DATE(J77,7,1))/365.25,1)))</f>
        <v>0.3</v>
      </c>
      <c r="Q77" s="12" t="s">
        <v>153</v>
      </c>
      <c r="R77" s="12"/>
      <c r="S77" s="10" t="s">
        <v>108</v>
      </c>
      <c r="T77" s="12" t="s">
        <v>68</v>
      </c>
      <c r="U77" s="12" t="s">
        <v>356</v>
      </c>
    </row>
    <row r="78" customFormat="false" ht="29.85" hidden="false" customHeight="false" outlineLevel="0" collapsed="false">
      <c r="A78" s="10" t="n">
        <v>77</v>
      </c>
      <c r="B78" s="11" t="s">
        <v>303</v>
      </c>
      <c r="C78" s="12" t="s">
        <v>304</v>
      </c>
      <c r="D78" s="12" t="s">
        <v>357</v>
      </c>
      <c r="E78" s="12" t="s">
        <v>358</v>
      </c>
      <c r="F78" s="11" t="s">
        <v>359</v>
      </c>
      <c r="G78" s="12" t="s">
        <v>122</v>
      </c>
      <c r="H78" s="12" t="s">
        <v>151</v>
      </c>
      <c r="I78" s="11" t="s">
        <v>204</v>
      </c>
      <c r="J78" s="13" t="n">
        <v>2024</v>
      </c>
      <c r="K78" s="13" t="n">
        <v>2024</v>
      </c>
      <c r="L78" s="13" t="n">
        <v>10</v>
      </c>
      <c r="M78" s="16" t="s">
        <v>74</v>
      </c>
      <c r="N78" s="12"/>
      <c r="O78" s="14" t="n">
        <f aca="false">IF(K78="","",ROUND((説明!$B$4-DATE(K78,IF(L78="",7,L78),1))/365.25,1))</f>
        <v>2</v>
      </c>
      <c r="P78" s="14" t="n">
        <f aca="false">IF(J78="","",IF(AND(J78=K78,L78&lt;&gt;""),O78,ROUND((説明!$B$4-DATE(J78,7,1))/365.25,1)))</f>
        <v>2</v>
      </c>
      <c r="Q78" s="12" t="s">
        <v>153</v>
      </c>
      <c r="R78" s="11" t="s">
        <v>360</v>
      </c>
      <c r="S78" s="10" t="s">
        <v>67</v>
      </c>
      <c r="T78" s="15" t="s">
        <v>361</v>
      </c>
      <c r="U78" s="12" t="s">
        <v>362</v>
      </c>
    </row>
    <row r="79" customFormat="false" ht="29.85" hidden="false" customHeight="false" outlineLevel="0" collapsed="false">
      <c r="A79" s="10" t="n">
        <v>78</v>
      </c>
      <c r="B79" s="11" t="s">
        <v>303</v>
      </c>
      <c r="C79" s="11" t="s">
        <v>363</v>
      </c>
      <c r="D79" s="12" t="s">
        <v>364</v>
      </c>
      <c r="E79" s="12" t="s">
        <v>365</v>
      </c>
      <c r="F79" s="12" t="s">
        <v>366</v>
      </c>
      <c r="G79" s="12" t="s">
        <v>88</v>
      </c>
      <c r="H79" s="12" t="s">
        <v>151</v>
      </c>
      <c r="I79" s="11" t="s">
        <v>367</v>
      </c>
      <c r="J79" s="13" t="n">
        <v>2025</v>
      </c>
      <c r="K79" s="13" t="n">
        <v>2025</v>
      </c>
      <c r="L79" s="13" t="n">
        <v>8</v>
      </c>
      <c r="M79" s="16" t="s">
        <v>74</v>
      </c>
      <c r="N79" s="12" t="s">
        <v>368</v>
      </c>
      <c r="O79" s="14" t="n">
        <f aca="false">IF(K79="","",ROUND((説明!$B$4-DATE(K79,IF(L79="",7,L79),1))/365.25,1))</f>
        <v>1.2</v>
      </c>
      <c r="P79" s="14" t="n">
        <f aca="false">IF(J79="","",IF(AND(J79=K79,L79&lt;&gt;""),O79,ROUND((説明!$B$4-DATE(J79,7,1))/365.25,1)))</f>
        <v>1.2</v>
      </c>
      <c r="Q79" s="12" t="s">
        <v>83</v>
      </c>
      <c r="R79" s="11" t="s">
        <v>369</v>
      </c>
      <c r="S79" s="10" t="s">
        <v>58</v>
      </c>
      <c r="T79" s="15" t="s">
        <v>370</v>
      </c>
      <c r="U79" s="11" t="s">
        <v>371</v>
      </c>
    </row>
    <row r="80" customFormat="false" ht="29.85" hidden="false" customHeight="false" outlineLevel="0" collapsed="false">
      <c r="A80" s="10" t="n">
        <v>79</v>
      </c>
      <c r="B80" s="11" t="s">
        <v>303</v>
      </c>
      <c r="C80" s="11" t="s">
        <v>363</v>
      </c>
      <c r="D80" s="12" t="s">
        <v>364</v>
      </c>
      <c r="E80" s="12" t="s">
        <v>372</v>
      </c>
      <c r="F80" s="12" t="s">
        <v>373</v>
      </c>
      <c r="G80" s="12" t="s">
        <v>88</v>
      </c>
      <c r="H80" s="12" t="s">
        <v>151</v>
      </c>
      <c r="I80" s="11" t="s">
        <v>374</v>
      </c>
      <c r="J80" s="13" t="n">
        <v>2024</v>
      </c>
      <c r="K80" s="13" t="n">
        <v>2024</v>
      </c>
      <c r="L80" s="13"/>
      <c r="M80" s="16" t="s">
        <v>74</v>
      </c>
      <c r="N80" s="12"/>
      <c r="O80" s="14" t="n">
        <f aca="false">IF(K80="","",ROUND((説明!$B$4-DATE(K80,IF(L80="",7,L80),1))/365.25,1))</f>
        <v>2.3</v>
      </c>
      <c r="P80" s="14" t="n">
        <f aca="false">IF(J80="","",IF(AND(J80=K80,L80&lt;&gt;""),O80,ROUND((説明!$B$4-DATE(J80,7,1))/365.25,1)))</f>
        <v>2.3</v>
      </c>
      <c r="Q80" s="12" t="s">
        <v>106</v>
      </c>
      <c r="R80" s="11" t="s">
        <v>375</v>
      </c>
      <c r="S80" s="10" t="s">
        <v>67</v>
      </c>
      <c r="T80" s="15" t="s">
        <v>376</v>
      </c>
      <c r="U80" s="12" t="s">
        <v>377</v>
      </c>
    </row>
    <row r="81" customFormat="false" ht="15" hidden="false" customHeight="false" outlineLevel="0" collapsed="false">
      <c r="A81" s="10" t="n">
        <v>80</v>
      </c>
      <c r="B81" s="11" t="s">
        <v>303</v>
      </c>
      <c r="C81" s="11" t="s">
        <v>363</v>
      </c>
      <c r="D81" s="12" t="s">
        <v>364</v>
      </c>
      <c r="E81" s="12" t="s">
        <v>378</v>
      </c>
      <c r="F81" s="12" t="s">
        <v>379</v>
      </c>
      <c r="G81" s="12" t="s">
        <v>88</v>
      </c>
      <c r="H81" s="12" t="s">
        <v>318</v>
      </c>
      <c r="I81" s="11" t="s">
        <v>204</v>
      </c>
      <c r="J81" s="13" t="n">
        <v>2025</v>
      </c>
      <c r="K81" s="13" t="n">
        <v>2025</v>
      </c>
      <c r="L81" s="13"/>
      <c r="M81" s="16" t="s">
        <v>74</v>
      </c>
      <c r="N81" s="12"/>
      <c r="O81" s="14" t="n">
        <f aca="false">IF(K81="","",ROUND((説明!$B$4-DATE(K81,IF(L81="",7,L81),1))/365.25,1))</f>
        <v>1.3</v>
      </c>
      <c r="P81" s="14" t="n">
        <f aca="false">IF(J81="","",IF(AND(J81=K81,L81&lt;&gt;""),O81,ROUND((説明!$B$4-DATE(J81,7,1))/365.25,1)))</f>
        <v>1.3</v>
      </c>
      <c r="Q81" s="12" t="s">
        <v>153</v>
      </c>
      <c r="R81" s="12"/>
      <c r="S81" s="10" t="s">
        <v>108</v>
      </c>
      <c r="T81" s="12" t="s">
        <v>68</v>
      </c>
      <c r="U81" s="12" t="s">
        <v>380</v>
      </c>
    </row>
    <row r="82" customFormat="false" ht="29.85" hidden="false" customHeight="false" outlineLevel="0" collapsed="false">
      <c r="A82" s="10" t="n">
        <v>81</v>
      </c>
      <c r="B82" s="11" t="s">
        <v>303</v>
      </c>
      <c r="C82" s="11" t="s">
        <v>363</v>
      </c>
      <c r="D82" s="12" t="s">
        <v>364</v>
      </c>
      <c r="E82" s="12" t="s">
        <v>381</v>
      </c>
      <c r="F82" s="12" t="s">
        <v>382</v>
      </c>
      <c r="G82" s="12" t="s">
        <v>88</v>
      </c>
      <c r="H82" s="12" t="s">
        <v>383</v>
      </c>
      <c r="I82" s="11" t="s">
        <v>204</v>
      </c>
      <c r="J82" s="13" t="n">
        <v>2026</v>
      </c>
      <c r="K82" s="13" t="n">
        <v>2026</v>
      </c>
      <c r="L82" s="13"/>
      <c r="M82" s="16" t="s">
        <v>74</v>
      </c>
      <c r="N82" s="12" t="s">
        <v>384</v>
      </c>
      <c r="O82" s="14" t="n">
        <f aca="false">IF(K82="","",ROUND((説明!$B$4-DATE(K82,IF(L82="",7,L82),1))/365.25,1))</f>
        <v>0.3</v>
      </c>
      <c r="P82" s="14" t="n">
        <f aca="false">IF(J82="","",IF(AND(J82=K82,L82&lt;&gt;""),O82,ROUND((説明!$B$4-DATE(J82,7,1))/365.25,1)))</f>
        <v>0.3</v>
      </c>
      <c r="Q82" s="12" t="s">
        <v>153</v>
      </c>
      <c r="R82" s="12"/>
      <c r="S82" s="10" t="s">
        <v>67</v>
      </c>
      <c r="T82" s="15" t="s">
        <v>385</v>
      </c>
      <c r="U82" s="12" t="s">
        <v>386</v>
      </c>
    </row>
    <row r="83" customFormat="false" ht="15" hidden="false" customHeight="false" outlineLevel="0" collapsed="false">
      <c r="A83" s="10" t="n">
        <v>82</v>
      </c>
      <c r="B83" s="11" t="s">
        <v>303</v>
      </c>
      <c r="C83" s="11" t="s">
        <v>363</v>
      </c>
      <c r="D83" s="12" t="s">
        <v>387</v>
      </c>
      <c r="E83" s="12" t="s">
        <v>388</v>
      </c>
      <c r="F83" s="12" t="s">
        <v>389</v>
      </c>
      <c r="G83" s="12" t="s">
        <v>88</v>
      </c>
      <c r="H83" s="12" t="s">
        <v>151</v>
      </c>
      <c r="I83" s="11" t="s">
        <v>204</v>
      </c>
      <c r="J83" s="13" t="n">
        <v>2024</v>
      </c>
      <c r="K83" s="13" t="n">
        <v>2024</v>
      </c>
      <c r="L83" s="13" t="n">
        <v>8</v>
      </c>
      <c r="M83" s="16" t="s">
        <v>74</v>
      </c>
      <c r="N83" s="12" t="s">
        <v>390</v>
      </c>
      <c r="O83" s="14" t="n">
        <f aca="false">IF(K83="","",ROUND((説明!$B$4-DATE(K83,IF(L83="",7,L83),1))/365.25,1))</f>
        <v>2.2</v>
      </c>
      <c r="P83" s="14" t="n">
        <f aca="false">IF(J83="","",IF(AND(J83=K83,L83&lt;&gt;""),O83,ROUND((説明!$B$4-DATE(J83,7,1))/365.25,1)))</f>
        <v>2.2</v>
      </c>
      <c r="Q83" s="12" t="s">
        <v>106</v>
      </c>
      <c r="R83" s="12"/>
      <c r="S83" s="10" t="s">
        <v>58</v>
      </c>
      <c r="T83" s="15" t="s">
        <v>376</v>
      </c>
      <c r="U83" s="12" t="s">
        <v>391</v>
      </c>
    </row>
    <row r="84" customFormat="false" ht="29.85" hidden="false" customHeight="false" outlineLevel="0" collapsed="false">
      <c r="A84" s="10" t="n">
        <v>83</v>
      </c>
      <c r="B84" s="11" t="s">
        <v>303</v>
      </c>
      <c r="C84" s="11" t="s">
        <v>363</v>
      </c>
      <c r="D84" s="12" t="s">
        <v>392</v>
      </c>
      <c r="E84" s="12" t="s">
        <v>393</v>
      </c>
      <c r="F84" s="12" t="s">
        <v>394</v>
      </c>
      <c r="G84" s="12" t="s">
        <v>88</v>
      </c>
      <c r="H84" s="12" t="s">
        <v>151</v>
      </c>
      <c r="I84" s="11" t="s">
        <v>395</v>
      </c>
      <c r="J84" s="13" t="n">
        <v>2025</v>
      </c>
      <c r="K84" s="13" t="n">
        <v>2025</v>
      </c>
      <c r="L84" s="13" t="n">
        <v>9</v>
      </c>
      <c r="M84" s="16" t="s">
        <v>74</v>
      </c>
      <c r="N84" s="12"/>
      <c r="O84" s="14" t="n">
        <f aca="false">IF(K84="","",ROUND((説明!$B$4-DATE(K84,IF(L84="",7,L84),1))/365.25,1))</f>
        <v>1.1</v>
      </c>
      <c r="P84" s="14" t="n">
        <f aca="false">IF(J84="","",IF(AND(J84=K84,L84&lt;&gt;""),O84,ROUND((説明!$B$4-DATE(J84,7,1))/365.25,1)))</f>
        <v>1.1</v>
      </c>
      <c r="Q84" s="12" t="s">
        <v>99</v>
      </c>
      <c r="R84" s="11" t="s">
        <v>369</v>
      </c>
      <c r="S84" s="10" t="s">
        <v>58</v>
      </c>
      <c r="T84" s="15" t="s">
        <v>396</v>
      </c>
      <c r="U84" s="12" t="s">
        <v>397</v>
      </c>
    </row>
    <row r="85" customFormat="false" ht="29.85" hidden="false" customHeight="false" outlineLevel="0" collapsed="false">
      <c r="A85" s="10" t="n">
        <v>84</v>
      </c>
      <c r="B85" s="11" t="s">
        <v>303</v>
      </c>
      <c r="C85" s="11" t="s">
        <v>363</v>
      </c>
      <c r="D85" s="12" t="s">
        <v>392</v>
      </c>
      <c r="E85" s="12" t="s">
        <v>398</v>
      </c>
      <c r="F85" s="12" t="s">
        <v>399</v>
      </c>
      <c r="G85" s="12" t="s">
        <v>88</v>
      </c>
      <c r="H85" s="12" t="s">
        <v>318</v>
      </c>
      <c r="I85" s="11" t="s">
        <v>204</v>
      </c>
      <c r="J85" s="13" t="n">
        <v>2025</v>
      </c>
      <c r="K85" s="13" t="n">
        <v>2025</v>
      </c>
      <c r="L85" s="13"/>
      <c r="M85" s="16" t="s">
        <v>74</v>
      </c>
      <c r="N85" s="12"/>
      <c r="O85" s="14" t="n">
        <f aca="false">IF(K85="","",ROUND((説明!$B$4-DATE(K85,IF(L85="",7,L85),1))/365.25,1))</f>
        <v>1.3</v>
      </c>
      <c r="P85" s="14" t="n">
        <f aca="false">IF(J85="","",IF(AND(J85=K85,L85&lt;&gt;""),O85,ROUND((説明!$B$4-DATE(J85,7,1))/365.25,1)))</f>
        <v>1.3</v>
      </c>
      <c r="Q85" s="12" t="s">
        <v>153</v>
      </c>
      <c r="R85" s="11" t="s">
        <v>400</v>
      </c>
      <c r="S85" s="10" t="s">
        <v>67</v>
      </c>
      <c r="T85" s="15" t="s">
        <v>401</v>
      </c>
      <c r="U85" s="12" t="s">
        <v>402</v>
      </c>
    </row>
    <row r="86" customFormat="false" ht="29.85" hidden="false" customHeight="false" outlineLevel="0" collapsed="false">
      <c r="A86" s="10" t="n">
        <v>85</v>
      </c>
      <c r="B86" s="11" t="s">
        <v>303</v>
      </c>
      <c r="C86" s="11" t="s">
        <v>363</v>
      </c>
      <c r="D86" s="12" t="s">
        <v>403</v>
      </c>
      <c r="E86" s="12" t="s">
        <v>404</v>
      </c>
      <c r="F86" s="12"/>
      <c r="G86" s="12" t="s">
        <v>88</v>
      </c>
      <c r="H86" s="12" t="s">
        <v>151</v>
      </c>
      <c r="I86" s="11" t="s">
        <v>204</v>
      </c>
      <c r="J86" s="13" t="n">
        <v>2026</v>
      </c>
      <c r="K86" s="13" t="n">
        <v>2026</v>
      </c>
      <c r="L86" s="13" t="n">
        <v>7</v>
      </c>
      <c r="M86" s="16" t="s">
        <v>74</v>
      </c>
      <c r="N86" s="12"/>
      <c r="O86" s="14" t="n">
        <f aca="false">IF(K86="","",ROUND((説明!$B$4-DATE(K86,IF(L86="",7,L86),1))/365.25,1))</f>
        <v>0.3</v>
      </c>
      <c r="P86" s="14" t="n">
        <f aca="false">IF(J86="","",IF(AND(J86=K86,L86&lt;&gt;""),O86,ROUND((説明!$B$4-DATE(J86,7,1))/365.25,1)))</f>
        <v>0.3</v>
      </c>
      <c r="Q86" s="11" t="s">
        <v>405</v>
      </c>
      <c r="R86" s="12"/>
      <c r="S86" s="10" t="s">
        <v>58</v>
      </c>
      <c r="T86" s="15" t="s">
        <v>406</v>
      </c>
      <c r="U86" s="12" t="s">
        <v>407</v>
      </c>
    </row>
    <row r="87" customFormat="false" ht="15" hidden="false" customHeight="false" outlineLevel="0" collapsed="false">
      <c r="A87" s="10" t="n">
        <v>86</v>
      </c>
      <c r="B87" s="11" t="s">
        <v>303</v>
      </c>
      <c r="C87" s="11" t="s">
        <v>408</v>
      </c>
      <c r="D87" s="12" t="s">
        <v>409</v>
      </c>
      <c r="E87" s="12" t="s">
        <v>410</v>
      </c>
      <c r="F87" s="12" t="s">
        <v>411</v>
      </c>
      <c r="G87" s="12" t="s">
        <v>88</v>
      </c>
      <c r="H87" s="12" t="s">
        <v>151</v>
      </c>
      <c r="I87" s="11" t="s">
        <v>412</v>
      </c>
      <c r="J87" s="13" t="n">
        <v>2025</v>
      </c>
      <c r="K87" s="13" t="n">
        <v>2025</v>
      </c>
      <c r="L87" s="13" t="n">
        <v>3</v>
      </c>
      <c r="M87" s="16" t="s">
        <v>74</v>
      </c>
      <c r="N87" s="12"/>
      <c r="O87" s="14" t="n">
        <f aca="false">IF(K87="","",ROUND((説明!$B$4-DATE(K87,IF(L87="",7,L87),1))/365.25,1))</f>
        <v>1.6</v>
      </c>
      <c r="P87" s="14" t="n">
        <f aca="false">IF(J87="","",IF(AND(J87=K87,L87&lt;&gt;""),O87,ROUND((説明!$B$4-DATE(J87,7,1))/365.25,1)))</f>
        <v>1.6</v>
      </c>
      <c r="Q87" s="12" t="s">
        <v>99</v>
      </c>
      <c r="R87" s="12"/>
      <c r="S87" s="10" t="s">
        <v>58</v>
      </c>
      <c r="T87" s="15" t="s">
        <v>413</v>
      </c>
      <c r="U87" s="12" t="s">
        <v>414</v>
      </c>
    </row>
    <row r="88" customFormat="false" ht="29.85" hidden="false" customHeight="false" outlineLevel="0" collapsed="false">
      <c r="A88" s="10" t="n">
        <v>87</v>
      </c>
      <c r="B88" s="11" t="s">
        <v>303</v>
      </c>
      <c r="C88" s="11" t="s">
        <v>408</v>
      </c>
      <c r="D88" s="12" t="s">
        <v>409</v>
      </c>
      <c r="E88" s="12" t="s">
        <v>415</v>
      </c>
      <c r="F88" s="12" t="s">
        <v>416</v>
      </c>
      <c r="G88" s="11" t="s">
        <v>116</v>
      </c>
      <c r="H88" s="12" t="s">
        <v>151</v>
      </c>
      <c r="I88" s="11" t="s">
        <v>417</v>
      </c>
      <c r="J88" s="13" t="n">
        <v>2022</v>
      </c>
      <c r="K88" s="13" t="n">
        <v>2022</v>
      </c>
      <c r="L88" s="13" t="n">
        <v>11</v>
      </c>
      <c r="M88" s="16" t="s">
        <v>74</v>
      </c>
      <c r="N88" s="12"/>
      <c r="O88" s="14" t="n">
        <f aca="false">IF(K88="","",ROUND((説明!$B$4-DATE(K88,IF(L88="",7,L88),1))/365.25,1))</f>
        <v>3.9</v>
      </c>
      <c r="P88" s="14" t="n">
        <f aca="false">IF(J88="","",IF(AND(J88=K88,L88&lt;&gt;""),O88,ROUND((説明!$B$4-DATE(J88,7,1))/365.25,1)))</f>
        <v>3.9</v>
      </c>
      <c r="Q88" s="12" t="s">
        <v>99</v>
      </c>
      <c r="R88" s="11" t="s">
        <v>418</v>
      </c>
      <c r="S88" s="10" t="s">
        <v>58</v>
      </c>
      <c r="T88" s="15" t="s">
        <v>419</v>
      </c>
      <c r="U88" s="12" t="s">
        <v>420</v>
      </c>
    </row>
    <row r="89" customFormat="false" ht="29.85" hidden="false" customHeight="false" outlineLevel="0" collapsed="false">
      <c r="A89" s="10" t="n">
        <v>88</v>
      </c>
      <c r="B89" s="11" t="s">
        <v>303</v>
      </c>
      <c r="C89" s="11" t="s">
        <v>408</v>
      </c>
      <c r="D89" s="12" t="s">
        <v>409</v>
      </c>
      <c r="E89" s="12" t="s">
        <v>421</v>
      </c>
      <c r="F89" s="12" t="s">
        <v>422</v>
      </c>
      <c r="G89" s="11" t="s">
        <v>116</v>
      </c>
      <c r="H89" s="12" t="s">
        <v>151</v>
      </c>
      <c r="I89" s="11" t="s">
        <v>412</v>
      </c>
      <c r="J89" s="13" t="n">
        <v>2026</v>
      </c>
      <c r="K89" s="13" t="n">
        <v>2026</v>
      </c>
      <c r="L89" s="13" t="n">
        <v>6</v>
      </c>
      <c r="M89" s="16" t="s">
        <v>74</v>
      </c>
      <c r="N89" s="12"/>
      <c r="O89" s="14" t="n">
        <f aca="false">IF(K89="","",ROUND((説明!$B$4-DATE(K89,IF(L89="",7,L89),1))/365.25,1))</f>
        <v>0.3</v>
      </c>
      <c r="P89" s="14" t="n">
        <f aca="false">IF(J89="","",IF(AND(J89=K89,L89&lt;&gt;""),O89,ROUND((説明!$B$4-DATE(J89,7,1))/365.25,1)))</f>
        <v>0.3</v>
      </c>
      <c r="Q89" s="12" t="s">
        <v>106</v>
      </c>
      <c r="R89" s="11" t="s">
        <v>423</v>
      </c>
      <c r="S89" s="10" t="s">
        <v>58</v>
      </c>
      <c r="T89" s="15" t="s">
        <v>424</v>
      </c>
      <c r="U89" s="12" t="s">
        <v>425</v>
      </c>
    </row>
    <row r="90" customFormat="false" ht="15" hidden="false" customHeight="false" outlineLevel="0" collapsed="false">
      <c r="A90" s="10" t="n">
        <v>89</v>
      </c>
      <c r="B90" s="11" t="s">
        <v>303</v>
      </c>
      <c r="C90" s="11" t="s">
        <v>408</v>
      </c>
      <c r="D90" s="12" t="s">
        <v>409</v>
      </c>
      <c r="E90" s="12" t="s">
        <v>426</v>
      </c>
      <c r="F90" s="12"/>
      <c r="G90" s="11" t="s">
        <v>116</v>
      </c>
      <c r="H90" s="11" t="s">
        <v>81</v>
      </c>
      <c r="I90" s="11" t="s">
        <v>54</v>
      </c>
      <c r="J90" s="13"/>
      <c r="K90" s="13" t="n">
        <v>2024</v>
      </c>
      <c r="L90" s="13"/>
      <c r="M90" s="10"/>
      <c r="N90" s="12"/>
      <c r="O90" s="14" t="n">
        <f aca="false">IF(K90="","",ROUND((説明!$B$4-DATE(K90,IF(L90="",7,L90),1))/365.25,1))</f>
        <v>2.3</v>
      </c>
      <c r="P90" s="14" t="str">
        <f aca="false">IF(J90="","",IF(AND(J90=K90,L90&lt;&gt;""),O90,ROUND((説明!$B$4-DATE(J90,7,1))/365.25,1)))</f>
        <v/>
      </c>
      <c r="Q90" s="12" t="s">
        <v>153</v>
      </c>
      <c r="R90" s="12"/>
      <c r="S90" s="10" t="s">
        <v>108</v>
      </c>
      <c r="T90" s="12" t="s">
        <v>68</v>
      </c>
      <c r="U90" s="12" t="s">
        <v>427</v>
      </c>
    </row>
    <row r="91" customFormat="false" ht="15" hidden="false" customHeight="false" outlineLevel="0" collapsed="false">
      <c r="A91" s="10" t="n">
        <v>90</v>
      </c>
      <c r="B91" s="11" t="s">
        <v>303</v>
      </c>
      <c r="C91" s="11" t="s">
        <v>408</v>
      </c>
      <c r="D91" s="12" t="s">
        <v>409</v>
      </c>
      <c r="E91" s="12" t="s">
        <v>428</v>
      </c>
      <c r="F91" s="12"/>
      <c r="G91" s="11" t="s">
        <v>80</v>
      </c>
      <c r="H91" s="11" t="s">
        <v>117</v>
      </c>
      <c r="I91" s="11" t="s">
        <v>54</v>
      </c>
      <c r="J91" s="13"/>
      <c r="K91" s="13" t="n">
        <v>2021</v>
      </c>
      <c r="L91" s="13"/>
      <c r="M91" s="10"/>
      <c r="N91" s="12"/>
      <c r="O91" s="14" t="n">
        <f aca="false">IF(K91="","",ROUND((説明!$B$4-DATE(K91,IF(L91="",7,L91),1))/365.25,1))</f>
        <v>5.3</v>
      </c>
      <c r="P91" s="14" t="str">
        <f aca="false">IF(J91="","",IF(AND(J91=K91,L91&lt;&gt;""),O91,ROUND((説明!$B$4-DATE(J91,7,1))/365.25,1)))</f>
        <v/>
      </c>
      <c r="Q91" s="12" t="s">
        <v>153</v>
      </c>
      <c r="R91" s="12"/>
      <c r="S91" s="10" t="s">
        <v>108</v>
      </c>
      <c r="T91" s="12" t="s">
        <v>68</v>
      </c>
      <c r="U91" s="11" t="s">
        <v>301</v>
      </c>
    </row>
    <row r="92" customFormat="false" ht="15" hidden="false" customHeight="false" outlineLevel="0" collapsed="false">
      <c r="A92" s="10" t="n">
        <v>91</v>
      </c>
      <c r="B92" s="11" t="s">
        <v>303</v>
      </c>
      <c r="C92" s="11" t="s">
        <v>408</v>
      </c>
      <c r="D92" s="12" t="s">
        <v>409</v>
      </c>
      <c r="E92" s="12" t="s">
        <v>429</v>
      </c>
      <c r="F92" s="12" t="s">
        <v>430</v>
      </c>
      <c r="G92" s="12" t="s">
        <v>122</v>
      </c>
      <c r="H92" s="12" t="s">
        <v>151</v>
      </c>
      <c r="I92" s="11" t="s">
        <v>204</v>
      </c>
      <c r="J92" s="13" t="n">
        <v>2025</v>
      </c>
      <c r="K92" s="13" t="n">
        <v>2025</v>
      </c>
      <c r="L92" s="13"/>
      <c r="M92" s="16" t="s">
        <v>74</v>
      </c>
      <c r="N92" s="12"/>
      <c r="O92" s="14" t="n">
        <f aca="false">IF(K92="","",ROUND((説明!$B$4-DATE(K92,IF(L92="",7,L92),1))/365.25,1))</f>
        <v>1.3</v>
      </c>
      <c r="P92" s="14" t="n">
        <f aca="false">IF(J92="","",IF(AND(J92=K92,L92&lt;&gt;""),O92,ROUND((説明!$B$4-DATE(J92,7,1))/365.25,1)))</f>
        <v>1.3</v>
      </c>
      <c r="Q92" s="12" t="s">
        <v>153</v>
      </c>
      <c r="R92" s="12"/>
      <c r="S92" s="10" t="s">
        <v>108</v>
      </c>
      <c r="T92" s="12" t="s">
        <v>68</v>
      </c>
      <c r="U92" s="12"/>
    </row>
    <row r="93" customFormat="false" ht="15" hidden="false" customHeight="false" outlineLevel="0" collapsed="false">
      <c r="A93" s="10" t="n">
        <v>92</v>
      </c>
      <c r="B93" s="11" t="s">
        <v>303</v>
      </c>
      <c r="C93" s="11" t="s">
        <v>408</v>
      </c>
      <c r="D93" s="12" t="s">
        <v>409</v>
      </c>
      <c r="E93" s="12" t="s">
        <v>431</v>
      </c>
      <c r="F93" s="12"/>
      <c r="G93" s="12" t="s">
        <v>88</v>
      </c>
      <c r="H93" s="11" t="s">
        <v>81</v>
      </c>
      <c r="I93" s="11" t="s">
        <v>54</v>
      </c>
      <c r="J93" s="13" t="n">
        <v>2017</v>
      </c>
      <c r="K93" s="13" t="n">
        <v>2017</v>
      </c>
      <c r="L93" s="13"/>
      <c r="M93" s="16" t="s">
        <v>74</v>
      </c>
      <c r="N93" s="12"/>
      <c r="O93" s="14" t="n">
        <f aca="false">IF(K93="","",ROUND((説明!$B$4-DATE(K93,IF(L93="",7,L93),1))/365.25,1))</f>
        <v>9.3</v>
      </c>
      <c r="P93" s="14" t="n">
        <f aca="false">IF(J93="","",IF(AND(J93=K93,L93&lt;&gt;""),O93,ROUND((説明!$B$4-DATE(J93,7,1))/365.25,1)))</f>
        <v>9.3</v>
      </c>
      <c r="Q93" s="12" t="s">
        <v>153</v>
      </c>
      <c r="R93" s="11" t="s">
        <v>432</v>
      </c>
      <c r="S93" s="10" t="s">
        <v>108</v>
      </c>
      <c r="T93" s="12" t="s">
        <v>68</v>
      </c>
      <c r="U93" s="12"/>
    </row>
    <row r="94" customFormat="false" ht="15" hidden="false" customHeight="false" outlineLevel="0" collapsed="false">
      <c r="A94" s="10" t="n">
        <v>93</v>
      </c>
      <c r="B94" s="11" t="s">
        <v>303</v>
      </c>
      <c r="C94" s="11" t="s">
        <v>408</v>
      </c>
      <c r="D94" s="12" t="s">
        <v>409</v>
      </c>
      <c r="E94" s="12" t="s">
        <v>433</v>
      </c>
      <c r="F94" s="12" t="s">
        <v>434</v>
      </c>
      <c r="G94" s="12" t="s">
        <v>122</v>
      </c>
      <c r="H94" s="12" t="s">
        <v>151</v>
      </c>
      <c r="I94" s="11" t="s">
        <v>204</v>
      </c>
      <c r="J94" s="13" t="n">
        <v>2023</v>
      </c>
      <c r="K94" s="13" t="n">
        <v>2023</v>
      </c>
      <c r="L94" s="13"/>
      <c r="M94" s="16" t="s">
        <v>74</v>
      </c>
      <c r="N94" s="12"/>
      <c r="O94" s="14" t="n">
        <f aca="false">IF(K94="","",ROUND((説明!$B$4-DATE(K94,IF(L94="",7,L94),1))/365.25,1))</f>
        <v>3.3</v>
      </c>
      <c r="P94" s="14" t="n">
        <f aca="false">IF(J94="","",IF(AND(J94=K94,L94&lt;&gt;""),O94,ROUND((説明!$B$4-DATE(J94,7,1))/365.25,1)))</f>
        <v>3.3</v>
      </c>
      <c r="Q94" s="12" t="s">
        <v>153</v>
      </c>
      <c r="R94" s="12"/>
      <c r="S94" s="10" t="s">
        <v>108</v>
      </c>
      <c r="T94" s="12" t="s">
        <v>68</v>
      </c>
      <c r="U94" s="12"/>
    </row>
    <row r="95" customFormat="false" ht="15" hidden="false" customHeight="false" outlineLevel="0" collapsed="false">
      <c r="A95" s="10" t="n">
        <v>94</v>
      </c>
      <c r="B95" s="11" t="s">
        <v>303</v>
      </c>
      <c r="C95" s="11" t="s">
        <v>408</v>
      </c>
      <c r="D95" s="12" t="s">
        <v>409</v>
      </c>
      <c r="E95" s="12" t="s">
        <v>435</v>
      </c>
      <c r="F95" s="12"/>
      <c r="G95" s="11" t="s">
        <v>436</v>
      </c>
      <c r="H95" s="12" t="s">
        <v>151</v>
      </c>
      <c r="I95" s="11" t="s">
        <v>105</v>
      </c>
      <c r="J95" s="13" t="n">
        <v>2021</v>
      </c>
      <c r="K95" s="13" t="n">
        <v>2021</v>
      </c>
      <c r="L95" s="13"/>
      <c r="M95" s="16" t="s">
        <v>74</v>
      </c>
      <c r="N95" s="12"/>
      <c r="O95" s="14" t="n">
        <f aca="false">IF(K95="","",ROUND((説明!$B$4-DATE(K95,IF(L95="",7,L95),1))/365.25,1))</f>
        <v>5.3</v>
      </c>
      <c r="P95" s="14" t="n">
        <f aca="false">IF(J95="","",IF(AND(J95=K95,L95&lt;&gt;""),O95,ROUND((説明!$B$4-DATE(J95,7,1))/365.25,1)))</f>
        <v>5.3</v>
      </c>
      <c r="Q95" s="12" t="s">
        <v>153</v>
      </c>
      <c r="R95" s="12"/>
      <c r="S95" s="10" t="s">
        <v>108</v>
      </c>
      <c r="T95" s="12" t="s">
        <v>68</v>
      </c>
      <c r="U95" s="12"/>
    </row>
    <row r="96" customFormat="false" ht="15" hidden="false" customHeight="false" outlineLevel="0" collapsed="false">
      <c r="A96" s="10" t="n">
        <v>95</v>
      </c>
      <c r="B96" s="11" t="s">
        <v>303</v>
      </c>
      <c r="C96" s="11" t="s">
        <v>408</v>
      </c>
      <c r="D96" s="12" t="s">
        <v>409</v>
      </c>
      <c r="E96" s="12" t="s">
        <v>437</v>
      </c>
      <c r="F96" s="12"/>
      <c r="G96" s="12" t="s">
        <v>88</v>
      </c>
      <c r="H96" s="12" t="s">
        <v>318</v>
      </c>
      <c r="I96" s="11" t="s">
        <v>105</v>
      </c>
      <c r="J96" s="13" t="n">
        <v>2019</v>
      </c>
      <c r="K96" s="13" t="n">
        <v>2026</v>
      </c>
      <c r="L96" s="13"/>
      <c r="M96" s="10" t="n">
        <v>2019</v>
      </c>
      <c r="N96" s="12"/>
      <c r="O96" s="14" t="n">
        <f aca="false">IF(K96="","",ROUND((説明!$B$4-DATE(K96,IF(L96="",7,L96),1))/365.25,1))</f>
        <v>0.3</v>
      </c>
      <c r="P96" s="14" t="n">
        <f aca="false">IF(J96="","",IF(AND(J96=K96,L96&lt;&gt;""),O96,ROUND((説明!$B$4-DATE(J96,7,1))/365.25,1)))</f>
        <v>7.3</v>
      </c>
      <c r="Q96" s="12" t="s">
        <v>153</v>
      </c>
      <c r="R96" s="11" t="s">
        <v>438</v>
      </c>
      <c r="S96" s="10" t="s">
        <v>108</v>
      </c>
      <c r="T96" s="12" t="s">
        <v>68</v>
      </c>
      <c r="U96" s="12" t="s">
        <v>439</v>
      </c>
    </row>
    <row r="97" customFormat="false" ht="15" hidden="false" customHeight="false" outlineLevel="0" collapsed="false">
      <c r="A97" s="10" t="n">
        <v>96</v>
      </c>
      <c r="B97" s="11" t="s">
        <v>303</v>
      </c>
      <c r="C97" s="11" t="s">
        <v>408</v>
      </c>
      <c r="D97" s="12" t="s">
        <v>409</v>
      </c>
      <c r="E97" s="12" t="s">
        <v>440</v>
      </c>
      <c r="F97" s="12"/>
      <c r="G97" s="12" t="s">
        <v>88</v>
      </c>
      <c r="H97" s="12" t="s">
        <v>89</v>
      </c>
      <c r="I97" s="11" t="s">
        <v>105</v>
      </c>
      <c r="J97" s="13" t="n">
        <v>2023</v>
      </c>
      <c r="K97" s="13" t="n">
        <v>2023</v>
      </c>
      <c r="L97" s="13"/>
      <c r="M97" s="16" t="s">
        <v>74</v>
      </c>
      <c r="N97" s="12"/>
      <c r="O97" s="14" t="n">
        <f aca="false">IF(K97="","",ROUND((説明!$B$4-DATE(K97,IF(L97="",7,L97),1))/365.25,1))</f>
        <v>3.3</v>
      </c>
      <c r="P97" s="14" t="n">
        <f aca="false">IF(J97="","",IF(AND(J97=K97,L97&lt;&gt;""),O97,ROUND((説明!$B$4-DATE(J97,7,1))/365.25,1)))</f>
        <v>3.3</v>
      </c>
      <c r="Q97" s="12" t="s">
        <v>153</v>
      </c>
      <c r="R97" s="12"/>
      <c r="S97" s="10" t="s">
        <v>108</v>
      </c>
      <c r="T97" s="12" t="s">
        <v>68</v>
      </c>
      <c r="U97" s="12"/>
    </row>
    <row r="98" customFormat="false" ht="15" hidden="false" customHeight="false" outlineLevel="0" collapsed="false">
      <c r="A98" s="10" t="n">
        <v>97</v>
      </c>
      <c r="B98" s="11" t="s">
        <v>303</v>
      </c>
      <c r="C98" s="11" t="s">
        <v>408</v>
      </c>
      <c r="D98" s="12" t="s">
        <v>409</v>
      </c>
      <c r="E98" s="12" t="s">
        <v>441</v>
      </c>
      <c r="F98" s="12"/>
      <c r="G98" s="11" t="s">
        <v>52</v>
      </c>
      <c r="H98" s="11" t="s">
        <v>63</v>
      </c>
      <c r="I98" s="11" t="s">
        <v>54</v>
      </c>
      <c r="J98" s="13" t="n">
        <v>2019</v>
      </c>
      <c r="K98" s="13" t="n">
        <v>2019</v>
      </c>
      <c r="L98" s="13"/>
      <c r="M98" s="16" t="s">
        <v>74</v>
      </c>
      <c r="N98" s="12"/>
      <c r="O98" s="14" t="n">
        <f aca="false">IF(K98="","",ROUND((説明!$B$4-DATE(K98,IF(L98="",7,L98),1))/365.25,1))</f>
        <v>7.3</v>
      </c>
      <c r="P98" s="14" t="n">
        <f aca="false">IF(J98="","",IF(AND(J98=K98,L98&lt;&gt;""),O98,ROUND((説明!$B$4-DATE(J98,7,1))/365.25,1)))</f>
        <v>7.3</v>
      </c>
      <c r="Q98" s="12" t="s">
        <v>164</v>
      </c>
      <c r="R98" s="12"/>
      <c r="S98" s="10" t="s">
        <v>108</v>
      </c>
      <c r="T98" s="12" t="s">
        <v>68</v>
      </c>
      <c r="U98" s="12"/>
    </row>
    <row r="99" customFormat="false" ht="15" hidden="false" customHeight="false" outlineLevel="0" collapsed="false">
      <c r="A99" s="10" t="n">
        <v>98</v>
      </c>
      <c r="B99" s="11" t="s">
        <v>303</v>
      </c>
      <c r="C99" s="11" t="s">
        <v>408</v>
      </c>
      <c r="D99" s="12" t="s">
        <v>409</v>
      </c>
      <c r="E99" s="12" t="s">
        <v>442</v>
      </c>
      <c r="F99" s="12"/>
      <c r="G99" s="11" t="s">
        <v>443</v>
      </c>
      <c r="H99" s="12" t="s">
        <v>151</v>
      </c>
      <c r="I99" s="11" t="s">
        <v>204</v>
      </c>
      <c r="J99" s="13" t="n">
        <v>2024</v>
      </c>
      <c r="K99" s="13" t="n">
        <v>2024</v>
      </c>
      <c r="L99" s="13"/>
      <c r="M99" s="16" t="s">
        <v>74</v>
      </c>
      <c r="N99" s="12"/>
      <c r="O99" s="14" t="n">
        <f aca="false">IF(K99="","",ROUND((説明!$B$4-DATE(K99,IF(L99="",7,L99),1))/365.25,1))</f>
        <v>2.3</v>
      </c>
      <c r="P99" s="14" t="n">
        <f aca="false">IF(J99="","",IF(AND(J99=K99,L99&lt;&gt;""),O99,ROUND((説明!$B$4-DATE(J99,7,1))/365.25,1)))</f>
        <v>2.3</v>
      </c>
      <c r="Q99" s="12" t="s">
        <v>164</v>
      </c>
      <c r="R99" s="12"/>
      <c r="S99" s="10" t="s">
        <v>108</v>
      </c>
      <c r="T99" s="12" t="s">
        <v>68</v>
      </c>
      <c r="U99" s="12"/>
    </row>
    <row r="100" customFormat="false" ht="29.85" hidden="false" customHeight="false" outlineLevel="0" collapsed="false">
      <c r="A100" s="10" t="n">
        <v>99</v>
      </c>
      <c r="B100" s="11" t="s">
        <v>303</v>
      </c>
      <c r="C100" s="11" t="s">
        <v>408</v>
      </c>
      <c r="D100" s="12" t="s">
        <v>444</v>
      </c>
      <c r="E100" s="12" t="s">
        <v>445</v>
      </c>
      <c r="F100" s="12" t="s">
        <v>446</v>
      </c>
      <c r="G100" s="12" t="s">
        <v>88</v>
      </c>
      <c r="H100" s="12" t="s">
        <v>151</v>
      </c>
      <c r="I100" s="11" t="s">
        <v>204</v>
      </c>
      <c r="J100" s="13" t="n">
        <v>2025</v>
      </c>
      <c r="K100" s="13" t="n">
        <v>2025</v>
      </c>
      <c r="L100" s="13" t="n">
        <v>3</v>
      </c>
      <c r="M100" s="16" t="s">
        <v>74</v>
      </c>
      <c r="N100" s="12"/>
      <c r="O100" s="14" t="n">
        <f aca="false">IF(K100="","",ROUND((説明!$B$4-DATE(K100,IF(L100="",7,L100),1))/365.25,1))</f>
        <v>1.6</v>
      </c>
      <c r="P100" s="14" t="n">
        <f aca="false">IF(J100="","",IF(AND(J100=K100,L100&lt;&gt;""),O100,ROUND((説明!$B$4-DATE(J100,7,1))/365.25,1)))</f>
        <v>1.6</v>
      </c>
      <c r="Q100" s="12" t="s">
        <v>106</v>
      </c>
      <c r="R100" s="12"/>
      <c r="S100" s="10" t="s">
        <v>58</v>
      </c>
      <c r="T100" s="15" t="s">
        <v>447</v>
      </c>
      <c r="U100" s="12" t="s">
        <v>448</v>
      </c>
    </row>
    <row r="101" customFormat="false" ht="29.85" hidden="false" customHeight="false" outlineLevel="0" collapsed="false">
      <c r="A101" s="10" t="n">
        <v>100</v>
      </c>
      <c r="B101" s="11" t="s">
        <v>303</v>
      </c>
      <c r="C101" s="11" t="s">
        <v>408</v>
      </c>
      <c r="D101" s="12" t="s">
        <v>444</v>
      </c>
      <c r="E101" s="12" t="s">
        <v>449</v>
      </c>
      <c r="F101" s="12" t="s">
        <v>450</v>
      </c>
      <c r="G101" s="11" t="s">
        <v>80</v>
      </c>
      <c r="H101" s="12" t="s">
        <v>151</v>
      </c>
      <c r="I101" s="11" t="s">
        <v>204</v>
      </c>
      <c r="J101" s="13" t="n">
        <v>2026</v>
      </c>
      <c r="K101" s="13" t="n">
        <v>2026</v>
      </c>
      <c r="L101" s="13" t="n">
        <v>3</v>
      </c>
      <c r="M101" s="16" t="s">
        <v>74</v>
      </c>
      <c r="N101" s="12"/>
      <c r="O101" s="14" t="n">
        <f aca="false">IF(K101="","",ROUND((説明!$B$4-DATE(K101,IF(L101="",7,L101),1))/365.25,1))</f>
        <v>0.6</v>
      </c>
      <c r="P101" s="14" t="n">
        <f aca="false">IF(J101="","",IF(AND(J101=K101,L101&lt;&gt;""),O101,ROUND((説明!$B$4-DATE(J101,7,1))/365.25,1)))</f>
        <v>0.6</v>
      </c>
      <c r="Q101" s="12" t="s">
        <v>153</v>
      </c>
      <c r="R101" s="12"/>
      <c r="S101" s="10" t="s">
        <v>58</v>
      </c>
      <c r="T101" s="15" t="s">
        <v>451</v>
      </c>
      <c r="U101" s="12"/>
    </row>
    <row r="102" customFormat="false" ht="29.85" hidden="false" customHeight="false" outlineLevel="0" collapsed="false">
      <c r="A102" s="10" t="n">
        <v>101</v>
      </c>
      <c r="B102" s="11" t="s">
        <v>303</v>
      </c>
      <c r="C102" s="11" t="s">
        <v>452</v>
      </c>
      <c r="D102" s="12" t="s">
        <v>453</v>
      </c>
      <c r="E102" s="12" t="s">
        <v>454</v>
      </c>
      <c r="F102" s="11" t="s">
        <v>455</v>
      </c>
      <c r="G102" s="11" t="s">
        <v>116</v>
      </c>
      <c r="H102" s="12" t="s">
        <v>151</v>
      </c>
      <c r="I102" s="11" t="s">
        <v>204</v>
      </c>
      <c r="J102" s="13" t="n">
        <v>2025</v>
      </c>
      <c r="K102" s="13" t="n">
        <v>2025</v>
      </c>
      <c r="L102" s="13" t="n">
        <v>11</v>
      </c>
      <c r="M102" s="16" t="s">
        <v>74</v>
      </c>
      <c r="N102" s="12"/>
      <c r="O102" s="14" t="n">
        <f aca="false">IF(K102="","",ROUND((説明!$B$4-DATE(K102,IF(L102="",7,L102),1))/365.25,1))</f>
        <v>0.9</v>
      </c>
      <c r="P102" s="14" t="n">
        <f aca="false">IF(J102="","",IF(AND(J102=K102,L102&lt;&gt;""),O102,ROUND((説明!$B$4-DATE(J102,7,1))/365.25,1)))</f>
        <v>0.9</v>
      </c>
      <c r="Q102" s="12" t="s">
        <v>99</v>
      </c>
      <c r="R102" s="11" t="s">
        <v>456</v>
      </c>
      <c r="S102" s="10" t="s">
        <v>58</v>
      </c>
      <c r="T102" s="15" t="s">
        <v>457</v>
      </c>
      <c r="U102" s="12" t="s">
        <v>458</v>
      </c>
    </row>
    <row r="103" customFormat="false" ht="15" hidden="false" customHeight="false" outlineLevel="0" collapsed="false">
      <c r="A103" s="10" t="n">
        <v>102</v>
      </c>
      <c r="B103" s="11" t="s">
        <v>303</v>
      </c>
      <c r="C103" s="11" t="s">
        <v>452</v>
      </c>
      <c r="D103" s="12" t="s">
        <v>453</v>
      </c>
      <c r="E103" s="12" t="s">
        <v>459</v>
      </c>
      <c r="F103" s="11" t="s">
        <v>460</v>
      </c>
      <c r="G103" s="12" t="s">
        <v>88</v>
      </c>
      <c r="H103" s="12" t="s">
        <v>151</v>
      </c>
      <c r="I103" s="11" t="s">
        <v>204</v>
      </c>
      <c r="J103" s="13" t="n">
        <v>2024</v>
      </c>
      <c r="K103" s="13" t="n">
        <v>2024</v>
      </c>
      <c r="L103" s="13" t="n">
        <v>11</v>
      </c>
      <c r="M103" s="16" t="s">
        <v>74</v>
      </c>
      <c r="N103" s="12" t="s">
        <v>461</v>
      </c>
      <c r="O103" s="14" t="n">
        <f aca="false">IF(K103="","",ROUND((説明!$B$4-DATE(K103,IF(L103="",7,L103),1))/365.25,1))</f>
        <v>1.9</v>
      </c>
      <c r="P103" s="14" t="n">
        <f aca="false">IF(J103="","",IF(AND(J103=K103,L103&lt;&gt;""),O103,ROUND((説明!$B$4-DATE(J103,7,1))/365.25,1)))</f>
        <v>1.9</v>
      </c>
      <c r="Q103" s="12" t="s">
        <v>106</v>
      </c>
      <c r="R103" s="12"/>
      <c r="S103" s="10" t="s">
        <v>58</v>
      </c>
      <c r="T103" s="15" t="s">
        <v>462</v>
      </c>
      <c r="U103" s="12" t="s">
        <v>463</v>
      </c>
    </row>
    <row r="104" customFormat="false" ht="15" hidden="false" customHeight="false" outlineLevel="0" collapsed="false">
      <c r="A104" s="10" t="n">
        <v>103</v>
      </c>
      <c r="B104" s="11" t="s">
        <v>303</v>
      </c>
      <c r="C104" s="11" t="s">
        <v>452</v>
      </c>
      <c r="D104" s="12" t="s">
        <v>464</v>
      </c>
      <c r="E104" s="12" t="s">
        <v>465</v>
      </c>
      <c r="F104" s="12"/>
      <c r="G104" s="12" t="s">
        <v>88</v>
      </c>
      <c r="H104" s="12" t="s">
        <v>151</v>
      </c>
      <c r="I104" s="11" t="s">
        <v>204</v>
      </c>
      <c r="J104" s="13" t="n">
        <v>2025</v>
      </c>
      <c r="K104" s="13" t="n">
        <v>2025</v>
      </c>
      <c r="L104" s="13" t="n">
        <v>8</v>
      </c>
      <c r="M104" s="16" t="s">
        <v>74</v>
      </c>
      <c r="N104" s="12"/>
      <c r="O104" s="14" t="n">
        <f aca="false">IF(K104="","",ROUND((説明!$B$4-DATE(K104,IF(L104="",7,L104),1))/365.25,1))</f>
        <v>1.2</v>
      </c>
      <c r="P104" s="14" t="n">
        <f aca="false">IF(J104="","",IF(AND(J104=K104,L104&lt;&gt;""),O104,ROUND((説明!$B$4-DATE(J104,7,1))/365.25,1)))</f>
        <v>1.2</v>
      </c>
      <c r="Q104" s="12" t="s">
        <v>106</v>
      </c>
      <c r="R104" s="12"/>
      <c r="S104" s="10" t="s">
        <v>58</v>
      </c>
      <c r="T104" s="15" t="s">
        <v>466</v>
      </c>
      <c r="U104" s="12"/>
    </row>
    <row r="105" customFormat="false" ht="15" hidden="false" customHeight="false" outlineLevel="0" collapsed="false">
      <c r="A105" s="10" t="n">
        <v>104</v>
      </c>
      <c r="B105" s="11" t="s">
        <v>303</v>
      </c>
      <c r="C105" s="11" t="s">
        <v>452</v>
      </c>
      <c r="D105" s="12" t="s">
        <v>464</v>
      </c>
      <c r="E105" s="12" t="s">
        <v>467</v>
      </c>
      <c r="F105" s="12"/>
      <c r="G105" s="12" t="s">
        <v>122</v>
      </c>
      <c r="H105" s="12" t="s">
        <v>151</v>
      </c>
      <c r="I105" s="11" t="s">
        <v>204</v>
      </c>
      <c r="J105" s="13" t="n">
        <v>2024</v>
      </c>
      <c r="K105" s="13" t="n">
        <v>2024</v>
      </c>
      <c r="L105" s="13" t="n">
        <v>3</v>
      </c>
      <c r="M105" s="16" t="s">
        <v>74</v>
      </c>
      <c r="N105" s="12"/>
      <c r="O105" s="14" t="n">
        <f aca="false">IF(K105="","",ROUND((説明!$B$4-DATE(K105,IF(L105="",7,L105),1))/365.25,1))</f>
        <v>2.6</v>
      </c>
      <c r="P105" s="14" t="n">
        <f aca="false">IF(J105="","",IF(AND(J105=K105,L105&lt;&gt;""),O105,ROUND((説明!$B$4-DATE(J105,7,1))/365.25,1)))</f>
        <v>2.6</v>
      </c>
      <c r="Q105" s="12" t="s">
        <v>106</v>
      </c>
      <c r="R105" s="12"/>
      <c r="S105" s="10" t="s">
        <v>58</v>
      </c>
      <c r="T105" s="15" t="s">
        <v>466</v>
      </c>
      <c r="U105" s="12" t="s">
        <v>468</v>
      </c>
    </row>
    <row r="106" customFormat="false" ht="29.85" hidden="false" customHeight="false" outlineLevel="0" collapsed="false">
      <c r="A106" s="10" t="n">
        <v>105</v>
      </c>
      <c r="B106" s="11" t="s">
        <v>303</v>
      </c>
      <c r="C106" s="11" t="s">
        <v>452</v>
      </c>
      <c r="D106" s="12" t="s">
        <v>464</v>
      </c>
      <c r="E106" s="12" t="s">
        <v>469</v>
      </c>
      <c r="F106" s="12"/>
      <c r="G106" s="12" t="s">
        <v>88</v>
      </c>
      <c r="H106" s="12" t="s">
        <v>151</v>
      </c>
      <c r="I106" s="11" t="s">
        <v>204</v>
      </c>
      <c r="J106" s="13" t="n">
        <v>2024</v>
      </c>
      <c r="K106" s="13" t="n">
        <v>2024</v>
      </c>
      <c r="L106" s="13" t="n">
        <v>7</v>
      </c>
      <c r="M106" s="16" t="s">
        <v>74</v>
      </c>
      <c r="N106" s="12"/>
      <c r="O106" s="14" t="n">
        <f aca="false">IF(K106="","",ROUND((説明!$B$4-DATE(K106,IF(L106="",7,L106),1))/365.25,1))</f>
        <v>2.3</v>
      </c>
      <c r="P106" s="14" t="n">
        <f aca="false">IF(J106="","",IF(AND(J106=K106,L106&lt;&gt;""),O106,ROUND((説明!$B$4-DATE(J106,7,1))/365.25,1)))</f>
        <v>2.3</v>
      </c>
      <c r="Q106" s="12" t="s">
        <v>153</v>
      </c>
      <c r="R106" s="11" t="s">
        <v>470</v>
      </c>
      <c r="S106" s="10" t="s">
        <v>58</v>
      </c>
      <c r="T106" s="15" t="s">
        <v>466</v>
      </c>
      <c r="U106" s="12"/>
    </row>
    <row r="107" customFormat="false" ht="15" hidden="false" customHeight="false" outlineLevel="0" collapsed="false">
      <c r="A107" s="10" t="n">
        <v>106</v>
      </c>
      <c r="B107" s="11" t="s">
        <v>303</v>
      </c>
      <c r="C107" s="11" t="s">
        <v>452</v>
      </c>
      <c r="D107" s="12" t="s">
        <v>471</v>
      </c>
      <c r="E107" s="12" t="s">
        <v>472</v>
      </c>
      <c r="F107" s="11" t="s">
        <v>473</v>
      </c>
      <c r="G107" s="11" t="s">
        <v>52</v>
      </c>
      <c r="H107" s="12" t="s">
        <v>151</v>
      </c>
      <c r="I107" s="11" t="s">
        <v>204</v>
      </c>
      <c r="J107" s="13" t="n">
        <v>2024</v>
      </c>
      <c r="K107" s="13" t="n">
        <v>2024</v>
      </c>
      <c r="L107" s="13" t="n">
        <v>11</v>
      </c>
      <c r="M107" s="16" t="s">
        <v>74</v>
      </c>
      <c r="N107" s="12" t="s">
        <v>474</v>
      </c>
      <c r="O107" s="14" t="n">
        <f aca="false">IF(K107="","",ROUND((説明!$B$4-DATE(K107,IF(L107="",7,L107),1))/365.25,1))</f>
        <v>1.9</v>
      </c>
      <c r="P107" s="14" t="n">
        <f aca="false">IF(J107="","",IF(AND(J107=K107,L107&lt;&gt;""),O107,ROUND((説明!$B$4-DATE(J107,7,1))/365.25,1)))</f>
        <v>1.9</v>
      </c>
      <c r="Q107" s="12" t="s">
        <v>106</v>
      </c>
      <c r="R107" s="12"/>
      <c r="S107" s="10" t="s">
        <v>67</v>
      </c>
      <c r="T107" s="15" t="s">
        <v>475</v>
      </c>
      <c r="U107" s="11" t="s">
        <v>476</v>
      </c>
    </row>
    <row r="108" customFormat="false" ht="15" hidden="false" customHeight="false" outlineLevel="0" collapsed="false">
      <c r="A108" s="10" t="n">
        <v>107</v>
      </c>
      <c r="B108" s="11" t="s">
        <v>303</v>
      </c>
      <c r="C108" s="11" t="s">
        <v>452</v>
      </c>
      <c r="D108" s="12" t="s">
        <v>471</v>
      </c>
      <c r="E108" s="12" t="s">
        <v>477</v>
      </c>
      <c r="F108" s="12"/>
      <c r="G108" s="11" t="s">
        <v>52</v>
      </c>
      <c r="H108" s="12" t="s">
        <v>151</v>
      </c>
      <c r="I108" s="11" t="s">
        <v>204</v>
      </c>
      <c r="J108" s="13" t="n">
        <v>2026</v>
      </c>
      <c r="K108" s="13" t="n">
        <v>2026</v>
      </c>
      <c r="L108" s="13"/>
      <c r="M108" s="16" t="s">
        <v>74</v>
      </c>
      <c r="N108" s="12"/>
      <c r="O108" s="14" t="n">
        <f aca="false">IF(K108="","",ROUND((説明!$B$4-DATE(K108,IF(L108="",7,L108),1))/365.25,1))</f>
        <v>0.3</v>
      </c>
      <c r="P108" s="14" t="n">
        <f aca="false">IF(J108="","",IF(AND(J108=K108,L108&lt;&gt;""),O108,ROUND((説明!$B$4-DATE(J108,7,1))/365.25,1)))</f>
        <v>0.3</v>
      </c>
      <c r="Q108" s="12" t="s">
        <v>153</v>
      </c>
      <c r="R108" s="12"/>
      <c r="S108" s="10" t="s">
        <v>108</v>
      </c>
      <c r="T108" s="12" t="s">
        <v>68</v>
      </c>
      <c r="U108" s="12" t="s">
        <v>478</v>
      </c>
    </row>
    <row r="109" customFormat="false" ht="29.85" hidden="false" customHeight="false" outlineLevel="0" collapsed="false">
      <c r="A109" s="10" t="n">
        <v>108</v>
      </c>
      <c r="B109" s="11" t="s">
        <v>303</v>
      </c>
      <c r="C109" s="11" t="s">
        <v>452</v>
      </c>
      <c r="D109" s="12" t="s">
        <v>471</v>
      </c>
      <c r="E109" s="12" t="s">
        <v>479</v>
      </c>
      <c r="F109" s="12"/>
      <c r="G109" s="11" t="s">
        <v>52</v>
      </c>
      <c r="H109" s="12" t="s">
        <v>151</v>
      </c>
      <c r="I109" s="11" t="s">
        <v>204</v>
      </c>
      <c r="J109" s="13" t="n">
        <v>2026</v>
      </c>
      <c r="K109" s="13" t="n">
        <v>2026</v>
      </c>
      <c r="L109" s="13" t="n">
        <v>8</v>
      </c>
      <c r="M109" s="16" t="s">
        <v>74</v>
      </c>
      <c r="N109" s="12"/>
      <c r="O109" s="14" t="n">
        <f aca="false">IF(K109="","",ROUND((説明!$B$4-DATE(K109,IF(L109="",7,L109),1))/365.25,1))</f>
        <v>0.2</v>
      </c>
      <c r="P109" s="14" t="n">
        <f aca="false">IF(J109="","",IF(AND(J109=K109,L109&lt;&gt;""),O109,ROUND((説明!$B$4-DATE(J109,7,1))/365.25,1)))</f>
        <v>0.2</v>
      </c>
      <c r="Q109" s="11" t="s">
        <v>480</v>
      </c>
      <c r="R109" s="12"/>
      <c r="S109" s="10" t="s">
        <v>67</v>
      </c>
      <c r="T109" s="15" t="s">
        <v>481</v>
      </c>
      <c r="U109" s="12" t="s">
        <v>482</v>
      </c>
    </row>
    <row r="110" customFormat="false" ht="29.85" hidden="false" customHeight="false" outlineLevel="0" collapsed="false">
      <c r="A110" s="10" t="n">
        <v>109</v>
      </c>
      <c r="B110" s="11" t="s">
        <v>303</v>
      </c>
      <c r="C110" s="11" t="s">
        <v>483</v>
      </c>
      <c r="D110" s="12" t="s">
        <v>484</v>
      </c>
      <c r="E110" s="12" t="s">
        <v>485</v>
      </c>
      <c r="F110" s="11" t="s">
        <v>486</v>
      </c>
      <c r="G110" s="12" t="s">
        <v>88</v>
      </c>
      <c r="H110" s="12" t="s">
        <v>487</v>
      </c>
      <c r="I110" s="11" t="s">
        <v>488</v>
      </c>
      <c r="J110" s="13" t="n">
        <v>2026</v>
      </c>
      <c r="K110" s="13" t="n">
        <v>2026</v>
      </c>
      <c r="L110" s="13" t="n">
        <v>3</v>
      </c>
      <c r="M110" s="16" t="s">
        <v>74</v>
      </c>
      <c r="N110" s="12"/>
      <c r="O110" s="14" t="n">
        <f aca="false">IF(K110="","",ROUND((説明!$B$4-DATE(K110,IF(L110="",7,L110),1))/365.25,1))</f>
        <v>0.6</v>
      </c>
      <c r="P110" s="14" t="n">
        <f aca="false">IF(J110="","",IF(AND(J110=K110,L110&lt;&gt;""),O110,ROUND((説明!$B$4-DATE(J110,7,1))/365.25,1)))</f>
        <v>0.6</v>
      </c>
      <c r="Q110" s="12" t="s">
        <v>106</v>
      </c>
      <c r="R110" s="11" t="s">
        <v>489</v>
      </c>
      <c r="S110" s="10" t="s">
        <v>58</v>
      </c>
      <c r="T110" s="15" t="s">
        <v>490</v>
      </c>
      <c r="U110" s="12" t="s">
        <v>491</v>
      </c>
    </row>
    <row r="111" customFormat="false" ht="15" hidden="false" customHeight="false" outlineLevel="0" collapsed="false">
      <c r="A111" s="10" t="n">
        <v>110</v>
      </c>
      <c r="B111" s="11" t="s">
        <v>303</v>
      </c>
      <c r="C111" s="11" t="s">
        <v>483</v>
      </c>
      <c r="D111" s="12" t="s">
        <v>492</v>
      </c>
      <c r="E111" s="12" t="s">
        <v>493</v>
      </c>
      <c r="F111" s="11" t="s">
        <v>494</v>
      </c>
      <c r="G111" s="12" t="s">
        <v>88</v>
      </c>
      <c r="H111" s="12" t="s">
        <v>495</v>
      </c>
      <c r="I111" s="11" t="s">
        <v>54</v>
      </c>
      <c r="J111" s="13" t="n">
        <v>2023</v>
      </c>
      <c r="K111" s="13" t="n">
        <v>2023</v>
      </c>
      <c r="L111" s="13" t="n">
        <v>9</v>
      </c>
      <c r="M111" s="16" t="s">
        <v>74</v>
      </c>
      <c r="N111" s="12" t="s">
        <v>496</v>
      </c>
      <c r="O111" s="14" t="n">
        <f aca="false">IF(K111="","",ROUND((説明!$B$4-DATE(K111,IF(L111="",7,L111),1))/365.25,1))</f>
        <v>3.1</v>
      </c>
      <c r="P111" s="14" t="n">
        <f aca="false">IF(J111="","",IF(AND(J111=K111,L111&lt;&gt;""),O111,ROUND((説明!$B$4-DATE(J111,7,1))/365.25,1)))</f>
        <v>3.1</v>
      </c>
      <c r="Q111" s="12" t="s">
        <v>99</v>
      </c>
      <c r="R111" s="12"/>
      <c r="S111" s="10" t="s">
        <v>58</v>
      </c>
      <c r="T111" s="15" t="s">
        <v>497</v>
      </c>
      <c r="U111" s="12" t="s">
        <v>343</v>
      </c>
    </row>
    <row r="112" customFormat="false" ht="29.85" hidden="false" customHeight="false" outlineLevel="0" collapsed="false">
      <c r="A112" s="10" t="n">
        <v>111</v>
      </c>
      <c r="B112" s="11" t="s">
        <v>303</v>
      </c>
      <c r="C112" s="11" t="s">
        <v>483</v>
      </c>
      <c r="D112" s="12" t="s">
        <v>484</v>
      </c>
      <c r="E112" s="12" t="s">
        <v>498</v>
      </c>
      <c r="F112" s="11" t="s">
        <v>499</v>
      </c>
      <c r="G112" s="11" t="s">
        <v>116</v>
      </c>
      <c r="H112" s="12" t="s">
        <v>151</v>
      </c>
      <c r="I112" s="11" t="s">
        <v>500</v>
      </c>
      <c r="J112" s="13" t="n">
        <v>2021</v>
      </c>
      <c r="K112" s="13" t="n">
        <v>2021</v>
      </c>
      <c r="L112" s="13" t="n">
        <v>10</v>
      </c>
      <c r="M112" s="16" t="s">
        <v>74</v>
      </c>
      <c r="N112" s="12"/>
      <c r="O112" s="14" t="n">
        <f aca="false">IF(K112="","",ROUND((説明!$B$4-DATE(K112,IF(L112="",7,L112),1))/365.25,1))</f>
        <v>5</v>
      </c>
      <c r="P112" s="14" t="n">
        <f aca="false">IF(J112="","",IF(AND(J112=K112,L112&lt;&gt;""),O112,ROUND((説明!$B$4-DATE(J112,7,1))/365.25,1)))</f>
        <v>5</v>
      </c>
      <c r="Q112" s="12" t="s">
        <v>106</v>
      </c>
      <c r="R112" s="11" t="s">
        <v>501</v>
      </c>
      <c r="S112" s="10" t="s">
        <v>58</v>
      </c>
      <c r="T112" s="15" t="s">
        <v>502</v>
      </c>
      <c r="U112" s="12" t="s">
        <v>503</v>
      </c>
    </row>
    <row r="113" customFormat="false" ht="29.85" hidden="false" customHeight="false" outlineLevel="0" collapsed="false">
      <c r="A113" s="10" t="n">
        <v>112</v>
      </c>
      <c r="B113" s="11" t="s">
        <v>303</v>
      </c>
      <c r="C113" s="11" t="s">
        <v>483</v>
      </c>
      <c r="D113" s="12" t="s">
        <v>504</v>
      </c>
      <c r="E113" s="12" t="s">
        <v>505</v>
      </c>
      <c r="F113" s="12"/>
      <c r="G113" s="12" t="s">
        <v>88</v>
      </c>
      <c r="H113" s="12" t="s">
        <v>170</v>
      </c>
      <c r="I113" s="11" t="s">
        <v>54</v>
      </c>
      <c r="J113" s="13" t="n">
        <v>2021</v>
      </c>
      <c r="K113" s="13" t="n">
        <v>2021</v>
      </c>
      <c r="L113" s="13" t="n">
        <v>6</v>
      </c>
      <c r="M113" s="16" t="s">
        <v>74</v>
      </c>
      <c r="N113" s="12"/>
      <c r="O113" s="14" t="n">
        <f aca="false">IF(K113="","",ROUND((説明!$B$4-DATE(K113,IF(L113="",7,L113),1))/365.25,1))</f>
        <v>5.3</v>
      </c>
      <c r="P113" s="14" t="n">
        <f aca="false">IF(J113="","",IF(AND(J113=K113,L113&lt;&gt;""),O113,ROUND((説明!$B$4-DATE(J113,7,1))/365.25,1)))</f>
        <v>5.3</v>
      </c>
      <c r="Q113" s="12" t="s">
        <v>153</v>
      </c>
      <c r="R113" s="12"/>
      <c r="S113" s="10" t="s">
        <v>58</v>
      </c>
      <c r="T113" s="15" t="s">
        <v>506</v>
      </c>
      <c r="U113" s="12" t="s">
        <v>507</v>
      </c>
    </row>
    <row r="114" customFormat="false" ht="29.85" hidden="false" customHeight="false" outlineLevel="0" collapsed="false">
      <c r="A114" s="10" t="n">
        <v>113</v>
      </c>
      <c r="B114" s="11" t="s">
        <v>303</v>
      </c>
      <c r="C114" s="11" t="s">
        <v>483</v>
      </c>
      <c r="D114" s="12" t="s">
        <v>492</v>
      </c>
      <c r="E114" s="12" t="s">
        <v>508</v>
      </c>
      <c r="F114" s="11" t="s">
        <v>509</v>
      </c>
      <c r="G114" s="12" t="s">
        <v>88</v>
      </c>
      <c r="H114" s="12" t="s">
        <v>89</v>
      </c>
      <c r="I114" s="11" t="s">
        <v>54</v>
      </c>
      <c r="J114" s="13" t="n">
        <v>2023</v>
      </c>
      <c r="K114" s="13" t="n">
        <v>2023</v>
      </c>
      <c r="L114" s="13" t="n">
        <v>9</v>
      </c>
      <c r="M114" s="16" t="s">
        <v>74</v>
      </c>
      <c r="N114" s="12"/>
      <c r="O114" s="14" t="n">
        <f aca="false">IF(K114="","",ROUND((説明!$B$4-DATE(K114,IF(L114="",7,L114),1))/365.25,1))</f>
        <v>3.1</v>
      </c>
      <c r="P114" s="14" t="n">
        <f aca="false">IF(J114="","",IF(AND(J114=K114,L114&lt;&gt;""),O114,ROUND((説明!$B$4-DATE(J114,7,1))/365.25,1)))</f>
        <v>3.1</v>
      </c>
      <c r="Q114" s="12" t="s">
        <v>153</v>
      </c>
      <c r="R114" s="12"/>
      <c r="S114" s="10" t="s">
        <v>58</v>
      </c>
      <c r="T114" s="15" t="s">
        <v>497</v>
      </c>
      <c r="U114" s="12" t="s">
        <v>510</v>
      </c>
    </row>
    <row r="115" customFormat="false" ht="29.85" hidden="false" customHeight="false" outlineLevel="0" collapsed="false">
      <c r="A115" s="10" t="n">
        <v>114</v>
      </c>
      <c r="B115" s="11" t="s">
        <v>303</v>
      </c>
      <c r="C115" s="11" t="s">
        <v>483</v>
      </c>
      <c r="D115" s="12" t="s">
        <v>511</v>
      </c>
      <c r="E115" s="12" t="s">
        <v>512</v>
      </c>
      <c r="F115" s="11" t="s">
        <v>513</v>
      </c>
      <c r="G115" s="12" t="s">
        <v>122</v>
      </c>
      <c r="H115" s="12" t="s">
        <v>318</v>
      </c>
      <c r="I115" s="11" t="s">
        <v>514</v>
      </c>
      <c r="J115" s="13" t="n">
        <v>2025</v>
      </c>
      <c r="K115" s="13" t="n">
        <v>2025</v>
      </c>
      <c r="L115" s="13" t="n">
        <v>11</v>
      </c>
      <c r="M115" s="16" t="s">
        <v>74</v>
      </c>
      <c r="N115" s="12"/>
      <c r="O115" s="14" t="n">
        <f aca="false">IF(K115="","",ROUND((説明!$B$4-DATE(K115,IF(L115="",7,L115),1))/365.25,1))</f>
        <v>0.9</v>
      </c>
      <c r="P115" s="14" t="n">
        <f aca="false">IF(J115="","",IF(AND(J115=K115,L115&lt;&gt;""),O115,ROUND((説明!$B$4-DATE(J115,7,1))/365.25,1)))</f>
        <v>0.9</v>
      </c>
      <c r="Q115" s="12" t="s">
        <v>153</v>
      </c>
      <c r="R115" s="11" t="s">
        <v>515</v>
      </c>
      <c r="S115" s="10" t="s">
        <v>58</v>
      </c>
      <c r="T115" s="15" t="s">
        <v>516</v>
      </c>
      <c r="U115" s="12"/>
    </row>
    <row r="116" customFormat="false" ht="15" hidden="false" customHeight="false" outlineLevel="0" collapsed="false">
      <c r="A116" s="10" t="n">
        <v>115</v>
      </c>
      <c r="B116" s="11" t="s">
        <v>303</v>
      </c>
      <c r="C116" s="11" t="s">
        <v>483</v>
      </c>
      <c r="D116" s="12" t="s">
        <v>504</v>
      </c>
      <c r="E116" s="12" t="s">
        <v>517</v>
      </c>
      <c r="F116" s="12"/>
      <c r="G116" s="12" t="s">
        <v>88</v>
      </c>
      <c r="H116" s="12" t="s">
        <v>89</v>
      </c>
      <c r="I116" s="11" t="s">
        <v>105</v>
      </c>
      <c r="J116" s="13"/>
      <c r="K116" s="13" t="n">
        <v>2022</v>
      </c>
      <c r="L116" s="13"/>
      <c r="M116" s="16" t="s">
        <v>74</v>
      </c>
      <c r="N116" s="12"/>
      <c r="O116" s="14" t="n">
        <f aca="false">IF(K116="","",ROUND((説明!$B$4-DATE(K116,IF(L116="",7,L116),1))/365.25,1))</f>
        <v>4.3</v>
      </c>
      <c r="P116" s="14" t="str">
        <f aca="false">IF(J116="","",IF(AND(J116=K116,L116&lt;&gt;""),O116,ROUND((説明!$B$4-DATE(J116,7,1))/365.25,1)))</f>
        <v/>
      </c>
      <c r="Q116" s="12" t="s">
        <v>153</v>
      </c>
      <c r="R116" s="12"/>
      <c r="S116" s="10" t="s">
        <v>108</v>
      </c>
      <c r="T116" s="12" t="s">
        <v>68</v>
      </c>
      <c r="U116" s="11" t="s">
        <v>518</v>
      </c>
    </row>
    <row r="117" customFormat="false" ht="29.85" hidden="false" customHeight="false" outlineLevel="0" collapsed="false">
      <c r="A117" s="10" t="n">
        <v>116</v>
      </c>
      <c r="B117" s="11" t="s">
        <v>303</v>
      </c>
      <c r="C117" s="11" t="s">
        <v>483</v>
      </c>
      <c r="D117" s="12" t="s">
        <v>519</v>
      </c>
      <c r="E117" s="12" t="s">
        <v>520</v>
      </c>
      <c r="F117" s="12"/>
      <c r="G117" s="11" t="s">
        <v>52</v>
      </c>
      <c r="H117" s="11" t="s">
        <v>105</v>
      </c>
      <c r="I117" s="11" t="s">
        <v>105</v>
      </c>
      <c r="J117" s="13"/>
      <c r="K117" s="13"/>
      <c r="L117" s="13"/>
      <c r="M117" s="10"/>
      <c r="N117" s="12"/>
      <c r="O117" s="14" t="str">
        <f aca="false">IF(K117="","",ROUND((説明!$B$4-DATE(K117,IF(L117="",7,L117),1))/365.25,1))</f>
        <v/>
      </c>
      <c r="P117" s="14" t="str">
        <f aca="false">IF(J117="","",IF(AND(J117=K117,L117&lt;&gt;""),O117,ROUND((説明!$B$4-DATE(J117,7,1))/365.25,1)))</f>
        <v/>
      </c>
      <c r="Q117" s="12" t="s">
        <v>153</v>
      </c>
      <c r="R117" s="12"/>
      <c r="S117" s="10" t="s">
        <v>108</v>
      </c>
      <c r="T117" s="12" t="s">
        <v>68</v>
      </c>
      <c r="U117" s="12" t="s">
        <v>521</v>
      </c>
    </row>
    <row r="118" customFormat="false" ht="15" hidden="false" customHeight="false" outlineLevel="0" collapsed="false">
      <c r="A118" s="10" t="n">
        <v>117</v>
      </c>
      <c r="B118" s="11" t="s">
        <v>303</v>
      </c>
      <c r="C118" s="11" t="s">
        <v>522</v>
      </c>
      <c r="D118" s="12" t="s">
        <v>523</v>
      </c>
      <c r="E118" s="12" t="s">
        <v>524</v>
      </c>
      <c r="F118" s="11" t="s">
        <v>525</v>
      </c>
      <c r="G118" s="11" t="s">
        <v>116</v>
      </c>
      <c r="H118" s="12" t="s">
        <v>151</v>
      </c>
      <c r="I118" s="11" t="s">
        <v>500</v>
      </c>
      <c r="J118" s="13" t="n">
        <v>2025</v>
      </c>
      <c r="K118" s="13" t="n">
        <v>2025</v>
      </c>
      <c r="L118" s="13" t="n">
        <v>6</v>
      </c>
      <c r="M118" s="16" t="s">
        <v>74</v>
      </c>
      <c r="N118" s="12"/>
      <c r="O118" s="14" t="n">
        <f aca="false">IF(K118="","",ROUND((説明!$B$4-DATE(K118,IF(L118="",7,L118),1))/365.25,1))</f>
        <v>1.3</v>
      </c>
      <c r="P118" s="14" t="n">
        <f aca="false">IF(J118="","",IF(AND(J118=K118,L118&lt;&gt;""),O118,ROUND((説明!$B$4-DATE(J118,7,1))/365.25,1)))</f>
        <v>1.3</v>
      </c>
      <c r="Q118" s="12" t="s">
        <v>99</v>
      </c>
      <c r="R118" s="11" t="s">
        <v>308</v>
      </c>
      <c r="S118" s="10" t="s">
        <v>58</v>
      </c>
      <c r="T118" s="15" t="s">
        <v>526</v>
      </c>
      <c r="U118" s="12" t="s">
        <v>527</v>
      </c>
    </row>
    <row r="119" customFormat="false" ht="29.85" hidden="false" customHeight="false" outlineLevel="0" collapsed="false">
      <c r="A119" s="10" t="n">
        <v>118</v>
      </c>
      <c r="B119" s="11" t="s">
        <v>303</v>
      </c>
      <c r="C119" s="11" t="s">
        <v>522</v>
      </c>
      <c r="D119" s="12" t="s">
        <v>523</v>
      </c>
      <c r="E119" s="12" t="s">
        <v>528</v>
      </c>
      <c r="F119" s="12" t="s">
        <v>529</v>
      </c>
      <c r="G119" s="12" t="s">
        <v>88</v>
      </c>
      <c r="H119" s="12" t="s">
        <v>151</v>
      </c>
      <c r="I119" s="11" t="s">
        <v>374</v>
      </c>
      <c r="J119" s="13" t="n">
        <v>2024</v>
      </c>
      <c r="K119" s="13" t="n">
        <v>2024</v>
      </c>
      <c r="L119" s="13" t="n">
        <v>11</v>
      </c>
      <c r="M119" s="16" t="s">
        <v>74</v>
      </c>
      <c r="N119" s="12"/>
      <c r="O119" s="14" t="n">
        <f aca="false">IF(K119="","",ROUND((説明!$B$4-DATE(K119,IF(L119="",7,L119),1))/365.25,1))</f>
        <v>1.9</v>
      </c>
      <c r="P119" s="14" t="n">
        <f aca="false">IF(J119="","",IF(AND(J119=K119,L119&lt;&gt;""),O119,ROUND((説明!$B$4-DATE(J119,7,1))/365.25,1)))</f>
        <v>1.9</v>
      </c>
      <c r="Q119" s="12" t="s">
        <v>106</v>
      </c>
      <c r="R119" s="11" t="s">
        <v>308</v>
      </c>
      <c r="S119" s="10" t="s">
        <v>58</v>
      </c>
      <c r="T119" s="15" t="s">
        <v>530</v>
      </c>
      <c r="U119" s="12" t="s">
        <v>531</v>
      </c>
    </row>
    <row r="120" customFormat="false" ht="15" hidden="false" customHeight="false" outlineLevel="0" collapsed="false">
      <c r="A120" s="10" t="n">
        <v>119</v>
      </c>
      <c r="B120" s="11" t="s">
        <v>303</v>
      </c>
      <c r="C120" s="11" t="s">
        <v>522</v>
      </c>
      <c r="D120" s="12" t="s">
        <v>523</v>
      </c>
      <c r="E120" s="12" t="s">
        <v>532</v>
      </c>
      <c r="F120" s="11" t="s">
        <v>533</v>
      </c>
      <c r="G120" s="12" t="s">
        <v>88</v>
      </c>
      <c r="H120" s="12" t="s">
        <v>151</v>
      </c>
      <c r="I120" s="11" t="s">
        <v>204</v>
      </c>
      <c r="J120" s="13" t="n">
        <v>2024</v>
      </c>
      <c r="K120" s="13" t="n">
        <v>2024</v>
      </c>
      <c r="L120" s="13" t="n">
        <v>9</v>
      </c>
      <c r="M120" s="16" t="s">
        <v>74</v>
      </c>
      <c r="N120" s="12"/>
      <c r="O120" s="14" t="n">
        <f aca="false">IF(K120="","",ROUND((説明!$B$4-DATE(K120,IF(L120="",7,L120),1))/365.25,1))</f>
        <v>2.1</v>
      </c>
      <c r="P120" s="14" t="n">
        <f aca="false">IF(J120="","",IF(AND(J120=K120,L120&lt;&gt;""),O120,ROUND((説明!$B$4-DATE(J120,7,1))/365.25,1)))</f>
        <v>2.1</v>
      </c>
      <c r="Q120" s="12" t="s">
        <v>106</v>
      </c>
      <c r="R120" s="12"/>
      <c r="S120" s="10" t="s">
        <v>67</v>
      </c>
      <c r="T120" s="15" t="s">
        <v>534</v>
      </c>
      <c r="U120" s="12"/>
    </row>
    <row r="121" customFormat="false" ht="29.85" hidden="false" customHeight="false" outlineLevel="0" collapsed="false">
      <c r="A121" s="10" t="n">
        <v>120</v>
      </c>
      <c r="B121" s="11" t="s">
        <v>303</v>
      </c>
      <c r="C121" s="11" t="s">
        <v>522</v>
      </c>
      <c r="D121" s="12" t="s">
        <v>523</v>
      </c>
      <c r="E121" s="12" t="s">
        <v>535</v>
      </c>
      <c r="F121" s="12"/>
      <c r="G121" s="12" t="s">
        <v>88</v>
      </c>
      <c r="H121" s="12" t="s">
        <v>151</v>
      </c>
      <c r="I121" s="11" t="s">
        <v>536</v>
      </c>
      <c r="J121" s="13" t="n">
        <v>2023</v>
      </c>
      <c r="K121" s="13" t="n">
        <v>2023</v>
      </c>
      <c r="L121" s="13" t="n">
        <v>9</v>
      </c>
      <c r="M121" s="16" t="s">
        <v>74</v>
      </c>
      <c r="N121" s="12"/>
      <c r="O121" s="14" t="n">
        <f aca="false">IF(K121="","",ROUND((説明!$B$4-DATE(K121,IF(L121="",7,L121),1))/365.25,1))</f>
        <v>3.1</v>
      </c>
      <c r="P121" s="14" t="n">
        <f aca="false">IF(J121="","",IF(AND(J121=K121,L121&lt;&gt;""),O121,ROUND((説明!$B$4-DATE(J121,7,1))/365.25,1)))</f>
        <v>3.1</v>
      </c>
      <c r="Q121" s="12" t="s">
        <v>106</v>
      </c>
      <c r="R121" s="11" t="s">
        <v>308</v>
      </c>
      <c r="S121" s="10" t="s">
        <v>58</v>
      </c>
      <c r="T121" s="15" t="s">
        <v>537</v>
      </c>
      <c r="U121" s="12" t="s">
        <v>538</v>
      </c>
    </row>
    <row r="122" customFormat="false" ht="15" hidden="false" customHeight="false" outlineLevel="0" collapsed="false">
      <c r="A122" s="10" t="n">
        <v>121</v>
      </c>
      <c r="B122" s="11" t="s">
        <v>303</v>
      </c>
      <c r="C122" s="11" t="s">
        <v>522</v>
      </c>
      <c r="D122" s="12" t="s">
        <v>523</v>
      </c>
      <c r="E122" s="12" t="s">
        <v>539</v>
      </c>
      <c r="F122" s="12"/>
      <c r="G122" s="11" t="s">
        <v>80</v>
      </c>
      <c r="H122" s="12" t="s">
        <v>151</v>
      </c>
      <c r="I122" s="11" t="s">
        <v>105</v>
      </c>
      <c r="J122" s="13"/>
      <c r="K122" s="13" t="n">
        <v>2024</v>
      </c>
      <c r="L122" s="13"/>
      <c r="M122" s="16" t="s">
        <v>74</v>
      </c>
      <c r="N122" s="12"/>
      <c r="O122" s="14" t="n">
        <f aca="false">IF(K122="","",ROUND((説明!$B$4-DATE(K122,IF(L122="",7,L122),1))/365.25,1))</f>
        <v>2.3</v>
      </c>
      <c r="P122" s="14" t="str">
        <f aca="false">IF(J122="","",IF(AND(J122=K122,L122&lt;&gt;""),O122,ROUND((説明!$B$4-DATE(J122,7,1))/365.25,1)))</f>
        <v/>
      </c>
      <c r="Q122" s="12" t="s">
        <v>153</v>
      </c>
      <c r="R122" s="12"/>
      <c r="S122" s="10" t="s">
        <v>108</v>
      </c>
      <c r="T122" s="12" t="s">
        <v>68</v>
      </c>
      <c r="U122" s="11" t="s">
        <v>540</v>
      </c>
    </row>
    <row r="123" customFormat="false" ht="15" hidden="false" customHeight="false" outlineLevel="0" collapsed="false">
      <c r="A123" s="10" t="n">
        <v>122</v>
      </c>
      <c r="B123" s="11" t="s">
        <v>303</v>
      </c>
      <c r="C123" s="11" t="s">
        <v>522</v>
      </c>
      <c r="D123" s="12" t="s">
        <v>541</v>
      </c>
      <c r="E123" s="12" t="s">
        <v>542</v>
      </c>
      <c r="F123" s="12"/>
      <c r="G123" s="12" t="s">
        <v>122</v>
      </c>
      <c r="H123" s="12" t="s">
        <v>318</v>
      </c>
      <c r="I123" s="11" t="s">
        <v>204</v>
      </c>
      <c r="J123" s="13" t="n">
        <v>2025</v>
      </c>
      <c r="K123" s="13" t="n">
        <v>2025</v>
      </c>
      <c r="L123" s="13"/>
      <c r="M123" s="16" t="s">
        <v>74</v>
      </c>
      <c r="N123" s="12"/>
      <c r="O123" s="14" t="n">
        <f aca="false">IF(K123="","",ROUND((説明!$B$4-DATE(K123,IF(L123="",7,L123),1))/365.25,1))</f>
        <v>1.3</v>
      </c>
      <c r="P123" s="14" t="n">
        <f aca="false">IF(J123="","",IF(AND(J123=K123,L123&lt;&gt;""),O123,ROUND((説明!$B$4-DATE(J123,7,1))/365.25,1)))</f>
        <v>1.3</v>
      </c>
      <c r="Q123" s="12" t="s">
        <v>153</v>
      </c>
      <c r="R123" s="12"/>
      <c r="S123" s="10" t="s">
        <v>108</v>
      </c>
      <c r="T123" s="15" t="s">
        <v>543</v>
      </c>
      <c r="U123" s="12" t="s">
        <v>380</v>
      </c>
    </row>
    <row r="124" customFormat="false" ht="29.85" hidden="false" customHeight="false" outlineLevel="0" collapsed="false">
      <c r="A124" s="10" t="n">
        <v>123</v>
      </c>
      <c r="B124" s="11" t="s">
        <v>303</v>
      </c>
      <c r="C124" s="11" t="s">
        <v>544</v>
      </c>
      <c r="D124" s="12" t="s">
        <v>545</v>
      </c>
      <c r="E124" s="12" t="s">
        <v>546</v>
      </c>
      <c r="F124" s="11" t="s">
        <v>547</v>
      </c>
      <c r="G124" s="12" t="s">
        <v>88</v>
      </c>
      <c r="H124" s="12" t="s">
        <v>383</v>
      </c>
      <c r="I124" s="11" t="s">
        <v>54</v>
      </c>
      <c r="J124" s="13" t="n">
        <v>2025</v>
      </c>
      <c r="K124" s="13" t="n">
        <v>2025</v>
      </c>
      <c r="L124" s="13" t="n">
        <v>3</v>
      </c>
      <c r="M124" s="16" t="s">
        <v>74</v>
      </c>
      <c r="N124" s="12"/>
      <c r="O124" s="14" t="n">
        <f aca="false">IF(K124="","",ROUND((説明!$B$4-DATE(K124,IF(L124="",7,L124),1))/365.25,1))</f>
        <v>1.6</v>
      </c>
      <c r="P124" s="14" t="n">
        <f aca="false">IF(J124="","",IF(AND(J124=K124,L124&lt;&gt;""),O124,ROUND((説明!$B$4-DATE(J124,7,1))/365.25,1)))</f>
        <v>1.6</v>
      </c>
      <c r="Q124" s="12" t="s">
        <v>99</v>
      </c>
      <c r="R124" s="12"/>
      <c r="S124" s="10" t="s">
        <v>58</v>
      </c>
      <c r="T124" s="15" t="s">
        <v>548</v>
      </c>
      <c r="U124" s="12" t="s">
        <v>549</v>
      </c>
    </row>
    <row r="125" customFormat="false" ht="29.85" hidden="false" customHeight="false" outlineLevel="0" collapsed="false">
      <c r="A125" s="10" t="n">
        <v>124</v>
      </c>
      <c r="B125" s="11" t="s">
        <v>303</v>
      </c>
      <c r="C125" s="11" t="s">
        <v>544</v>
      </c>
      <c r="D125" s="12" t="s">
        <v>545</v>
      </c>
      <c r="E125" s="12" t="s">
        <v>550</v>
      </c>
      <c r="F125" s="11" t="s">
        <v>551</v>
      </c>
      <c r="G125" s="12" t="s">
        <v>88</v>
      </c>
      <c r="H125" s="12" t="s">
        <v>151</v>
      </c>
      <c r="I125" s="11" t="s">
        <v>204</v>
      </c>
      <c r="J125" s="13" t="n">
        <v>2023</v>
      </c>
      <c r="K125" s="13" t="n">
        <v>2023</v>
      </c>
      <c r="L125" s="13" t="n">
        <v>11</v>
      </c>
      <c r="M125" s="16" t="s">
        <v>74</v>
      </c>
      <c r="N125" s="11" t="s">
        <v>552</v>
      </c>
      <c r="O125" s="14" t="n">
        <f aca="false">IF(K125="","",ROUND((説明!$B$4-DATE(K125,IF(L125="",7,L125),1))/365.25,1))</f>
        <v>2.9</v>
      </c>
      <c r="P125" s="14" t="n">
        <f aca="false">IF(J125="","",IF(AND(J125=K125,L125&lt;&gt;""),O125,ROUND((説明!$B$4-DATE(J125,7,1))/365.25,1)))</f>
        <v>2.9</v>
      </c>
      <c r="Q125" s="12" t="s">
        <v>106</v>
      </c>
      <c r="R125" s="11" t="s">
        <v>553</v>
      </c>
      <c r="S125" s="10" t="s">
        <v>58</v>
      </c>
      <c r="T125" s="15" t="s">
        <v>554</v>
      </c>
      <c r="U125" s="12" t="s">
        <v>555</v>
      </c>
    </row>
    <row r="126" customFormat="false" ht="29.85" hidden="false" customHeight="false" outlineLevel="0" collapsed="false">
      <c r="A126" s="10" t="n">
        <v>125</v>
      </c>
      <c r="B126" s="11" t="s">
        <v>303</v>
      </c>
      <c r="C126" s="11" t="s">
        <v>544</v>
      </c>
      <c r="D126" s="12" t="s">
        <v>545</v>
      </c>
      <c r="E126" s="12" t="s">
        <v>556</v>
      </c>
      <c r="F126" s="11" t="s">
        <v>557</v>
      </c>
      <c r="G126" s="11" t="s">
        <v>80</v>
      </c>
      <c r="H126" s="12" t="s">
        <v>151</v>
      </c>
      <c r="I126" s="11" t="s">
        <v>204</v>
      </c>
      <c r="J126" s="13" t="n">
        <v>2023</v>
      </c>
      <c r="K126" s="13" t="n">
        <v>2023</v>
      </c>
      <c r="L126" s="13" t="n">
        <v>11</v>
      </c>
      <c r="M126" s="16" t="s">
        <v>74</v>
      </c>
      <c r="N126" s="12"/>
      <c r="O126" s="14" t="n">
        <f aca="false">IF(K126="","",ROUND((説明!$B$4-DATE(K126,IF(L126="",7,L126),1))/365.25,1))</f>
        <v>2.9</v>
      </c>
      <c r="P126" s="14" t="n">
        <f aca="false">IF(J126="","",IF(AND(J126=K126,L126&lt;&gt;""),O126,ROUND((説明!$B$4-DATE(J126,7,1))/365.25,1)))</f>
        <v>2.9</v>
      </c>
      <c r="Q126" s="12" t="s">
        <v>153</v>
      </c>
      <c r="R126" s="11" t="s">
        <v>553</v>
      </c>
      <c r="S126" s="10" t="s">
        <v>58</v>
      </c>
      <c r="T126" s="15" t="s">
        <v>554</v>
      </c>
      <c r="U126" s="12"/>
    </row>
    <row r="127" customFormat="false" ht="29.85" hidden="false" customHeight="false" outlineLevel="0" collapsed="false">
      <c r="A127" s="10" t="n">
        <v>126</v>
      </c>
      <c r="B127" s="11" t="s">
        <v>303</v>
      </c>
      <c r="C127" s="11" t="s">
        <v>544</v>
      </c>
      <c r="D127" s="12" t="s">
        <v>545</v>
      </c>
      <c r="E127" s="12" t="s">
        <v>558</v>
      </c>
      <c r="F127" s="11" t="s">
        <v>559</v>
      </c>
      <c r="G127" s="12" t="s">
        <v>88</v>
      </c>
      <c r="H127" s="12" t="s">
        <v>151</v>
      </c>
      <c r="I127" s="11" t="s">
        <v>204</v>
      </c>
      <c r="J127" s="13" t="n">
        <v>2025</v>
      </c>
      <c r="K127" s="13" t="n">
        <v>2025</v>
      </c>
      <c r="L127" s="13"/>
      <c r="M127" s="16" t="s">
        <v>74</v>
      </c>
      <c r="N127" s="12"/>
      <c r="O127" s="14" t="n">
        <f aca="false">IF(K127="","",ROUND((説明!$B$4-DATE(K127,IF(L127="",7,L127),1))/365.25,1))</f>
        <v>1.3</v>
      </c>
      <c r="P127" s="14" t="n">
        <f aca="false">IF(J127="","",IF(AND(J127=K127,L127&lt;&gt;""),O127,ROUND((説明!$B$4-DATE(J127,7,1))/365.25,1)))</f>
        <v>1.3</v>
      </c>
      <c r="Q127" s="12" t="s">
        <v>164</v>
      </c>
      <c r="R127" s="12"/>
      <c r="S127" s="10" t="s">
        <v>108</v>
      </c>
      <c r="T127" s="15" t="s">
        <v>560</v>
      </c>
      <c r="U127" s="12"/>
    </row>
    <row r="128" customFormat="false" ht="29.85" hidden="false" customHeight="false" outlineLevel="0" collapsed="false">
      <c r="A128" s="10" t="n">
        <v>127</v>
      </c>
      <c r="B128" s="11" t="s">
        <v>303</v>
      </c>
      <c r="C128" s="11" t="s">
        <v>544</v>
      </c>
      <c r="D128" s="12" t="s">
        <v>561</v>
      </c>
      <c r="E128" s="12" t="s">
        <v>562</v>
      </c>
      <c r="F128" s="12"/>
      <c r="G128" s="11" t="s">
        <v>563</v>
      </c>
      <c r="H128" s="12" t="s">
        <v>151</v>
      </c>
      <c r="I128" s="11" t="s">
        <v>204</v>
      </c>
      <c r="J128" s="13"/>
      <c r="K128" s="13" t="n">
        <v>2024</v>
      </c>
      <c r="L128" s="13"/>
      <c r="M128" s="16" t="s">
        <v>74</v>
      </c>
      <c r="N128" s="12"/>
      <c r="O128" s="14" t="n">
        <f aca="false">IF(K128="","",ROUND((説明!$B$4-DATE(K128,IF(L128="",7,L128),1))/365.25,1))</f>
        <v>2.3</v>
      </c>
      <c r="P128" s="14" t="str">
        <f aca="false">IF(J128="","",IF(AND(J128=K128,L128&lt;&gt;""),O128,ROUND((説明!$B$4-DATE(J128,7,1))/365.25,1)))</f>
        <v/>
      </c>
      <c r="Q128" s="12" t="s">
        <v>106</v>
      </c>
      <c r="R128" s="12"/>
      <c r="S128" s="10" t="s">
        <v>108</v>
      </c>
      <c r="T128" s="15" t="s">
        <v>560</v>
      </c>
      <c r="U128" s="11" t="s">
        <v>518</v>
      </c>
    </row>
    <row r="129" customFormat="false" ht="29.85" hidden="false" customHeight="false" outlineLevel="0" collapsed="false">
      <c r="A129" s="10" t="n">
        <v>128</v>
      </c>
      <c r="B129" s="11" t="s">
        <v>303</v>
      </c>
      <c r="C129" s="11" t="s">
        <v>544</v>
      </c>
      <c r="D129" s="12" t="s">
        <v>561</v>
      </c>
      <c r="E129" s="12" t="s">
        <v>564</v>
      </c>
      <c r="F129" s="11" t="s">
        <v>565</v>
      </c>
      <c r="G129" s="12" t="s">
        <v>88</v>
      </c>
      <c r="H129" s="12" t="s">
        <v>151</v>
      </c>
      <c r="I129" s="11" t="s">
        <v>54</v>
      </c>
      <c r="J129" s="13" t="n">
        <v>2026</v>
      </c>
      <c r="K129" s="13" t="n">
        <v>2026</v>
      </c>
      <c r="L129" s="13" t="n">
        <v>5</v>
      </c>
      <c r="M129" s="16" t="s">
        <v>74</v>
      </c>
      <c r="N129" s="12"/>
      <c r="O129" s="14" t="n">
        <f aca="false">IF(K129="","",ROUND((説明!$B$4-DATE(K129,IF(L129="",7,L129),1))/365.25,1))</f>
        <v>0.4</v>
      </c>
      <c r="P129" s="14" t="n">
        <f aca="false">IF(J129="","",IF(AND(J129=K129,L129&lt;&gt;""),O129,ROUND((説明!$B$4-DATE(J129,7,1))/365.25,1)))</f>
        <v>0.4</v>
      </c>
      <c r="Q129" s="12" t="s">
        <v>106</v>
      </c>
      <c r="R129" s="12"/>
      <c r="S129" s="10" t="s">
        <v>58</v>
      </c>
      <c r="T129" s="15" t="s">
        <v>566</v>
      </c>
      <c r="U129" s="12" t="s">
        <v>567</v>
      </c>
    </row>
    <row r="130" customFormat="false" ht="29.85" hidden="false" customHeight="false" outlineLevel="0" collapsed="false">
      <c r="A130" s="10" t="n">
        <v>129</v>
      </c>
      <c r="B130" s="11" t="s">
        <v>303</v>
      </c>
      <c r="C130" s="11" t="s">
        <v>544</v>
      </c>
      <c r="D130" s="12" t="s">
        <v>568</v>
      </c>
      <c r="E130" s="12" t="s">
        <v>569</v>
      </c>
      <c r="F130" s="11" t="s">
        <v>570</v>
      </c>
      <c r="G130" s="12" t="s">
        <v>88</v>
      </c>
      <c r="H130" s="12" t="s">
        <v>151</v>
      </c>
      <c r="I130" s="11" t="s">
        <v>500</v>
      </c>
      <c r="J130" s="13" t="n">
        <v>2024</v>
      </c>
      <c r="K130" s="13" t="n">
        <v>2024</v>
      </c>
      <c r="L130" s="13" t="n">
        <v>9</v>
      </c>
      <c r="M130" s="16" t="s">
        <v>74</v>
      </c>
      <c r="N130" s="12"/>
      <c r="O130" s="14" t="n">
        <f aca="false">IF(K130="","",ROUND((説明!$B$4-DATE(K130,IF(L130="",7,L130),1))/365.25,1))</f>
        <v>2.1</v>
      </c>
      <c r="P130" s="14" t="n">
        <f aca="false">IF(J130="","",IF(AND(J130=K130,L130&lt;&gt;""),O130,ROUND((説明!$B$4-DATE(J130,7,1))/365.25,1)))</f>
        <v>2.1</v>
      </c>
      <c r="Q130" s="12" t="s">
        <v>153</v>
      </c>
      <c r="R130" s="11" t="s">
        <v>571</v>
      </c>
      <c r="S130" s="10" t="s">
        <v>58</v>
      </c>
      <c r="T130" s="15" t="s">
        <v>572</v>
      </c>
      <c r="U130" s="12"/>
    </row>
    <row r="131" customFormat="false" ht="29.85" hidden="false" customHeight="false" outlineLevel="0" collapsed="false">
      <c r="A131" s="10" t="n">
        <v>130</v>
      </c>
      <c r="B131" s="11" t="s">
        <v>303</v>
      </c>
      <c r="C131" s="11" t="s">
        <v>544</v>
      </c>
      <c r="D131" s="12" t="s">
        <v>568</v>
      </c>
      <c r="E131" s="12" t="s">
        <v>573</v>
      </c>
      <c r="F131" s="11" t="s">
        <v>574</v>
      </c>
      <c r="G131" s="12" t="s">
        <v>88</v>
      </c>
      <c r="H131" s="12" t="s">
        <v>151</v>
      </c>
      <c r="I131" s="11" t="s">
        <v>204</v>
      </c>
      <c r="J131" s="13" t="n">
        <v>2025</v>
      </c>
      <c r="K131" s="13" t="n">
        <v>2025</v>
      </c>
      <c r="L131" s="13" t="n">
        <v>11</v>
      </c>
      <c r="M131" s="16" t="s">
        <v>74</v>
      </c>
      <c r="N131" s="12"/>
      <c r="O131" s="14" t="n">
        <f aca="false">IF(K131="","",ROUND((説明!$B$4-DATE(K131,IF(L131="",7,L131),1))/365.25,1))</f>
        <v>0.9</v>
      </c>
      <c r="P131" s="14" t="n">
        <f aca="false">IF(J131="","",IF(AND(J131=K131,L131&lt;&gt;""),O131,ROUND((説明!$B$4-DATE(J131,7,1))/365.25,1)))</f>
        <v>0.9</v>
      </c>
      <c r="Q131" s="12" t="s">
        <v>153</v>
      </c>
      <c r="R131" s="11" t="s">
        <v>575</v>
      </c>
      <c r="S131" s="10" t="s">
        <v>58</v>
      </c>
      <c r="T131" s="15" t="s">
        <v>576</v>
      </c>
      <c r="U131" s="11" t="s">
        <v>577</v>
      </c>
    </row>
    <row r="132" customFormat="false" ht="29.85" hidden="false" customHeight="false" outlineLevel="0" collapsed="false">
      <c r="A132" s="10" t="n">
        <v>131</v>
      </c>
      <c r="B132" s="11" t="s">
        <v>303</v>
      </c>
      <c r="C132" s="11" t="s">
        <v>578</v>
      </c>
      <c r="D132" s="12" t="s">
        <v>579</v>
      </c>
      <c r="E132" s="12" t="s">
        <v>580</v>
      </c>
      <c r="F132" s="12"/>
      <c r="G132" s="12" t="s">
        <v>88</v>
      </c>
      <c r="H132" s="12" t="s">
        <v>151</v>
      </c>
      <c r="I132" s="11" t="s">
        <v>204</v>
      </c>
      <c r="J132" s="13" t="n">
        <v>2024</v>
      </c>
      <c r="K132" s="13" t="n">
        <v>2024</v>
      </c>
      <c r="L132" s="13" t="n">
        <v>8</v>
      </c>
      <c r="M132" s="16" t="s">
        <v>74</v>
      </c>
      <c r="N132" s="12"/>
      <c r="O132" s="14" t="n">
        <f aca="false">IF(K132="","",ROUND((説明!$B$4-DATE(K132,IF(L132="",7,L132),1))/365.25,1))</f>
        <v>2.2</v>
      </c>
      <c r="P132" s="14" t="n">
        <f aca="false">IF(J132="","",IF(AND(J132=K132,L132&lt;&gt;""),O132,ROUND((説明!$B$4-DATE(J132,7,1))/365.25,1)))</f>
        <v>2.2</v>
      </c>
      <c r="Q132" s="12" t="s">
        <v>106</v>
      </c>
      <c r="R132" s="11" t="s">
        <v>581</v>
      </c>
      <c r="S132" s="10" t="s">
        <v>67</v>
      </c>
      <c r="T132" s="15" t="s">
        <v>582</v>
      </c>
      <c r="U132" s="12" t="s">
        <v>583</v>
      </c>
    </row>
    <row r="133" customFormat="false" ht="15" hidden="false" customHeight="false" outlineLevel="0" collapsed="false">
      <c r="A133" s="10" t="n">
        <v>132</v>
      </c>
      <c r="B133" s="11" t="s">
        <v>303</v>
      </c>
      <c r="C133" s="11" t="s">
        <v>578</v>
      </c>
      <c r="D133" s="12" t="s">
        <v>579</v>
      </c>
      <c r="E133" s="12" t="s">
        <v>584</v>
      </c>
      <c r="F133" s="12"/>
      <c r="G133" s="12" t="s">
        <v>122</v>
      </c>
      <c r="H133" s="12" t="s">
        <v>151</v>
      </c>
      <c r="I133" s="11" t="s">
        <v>204</v>
      </c>
      <c r="J133" s="13" t="n">
        <v>2024</v>
      </c>
      <c r="K133" s="13" t="n">
        <v>2024</v>
      </c>
      <c r="L133" s="13" t="n">
        <v>11</v>
      </c>
      <c r="M133" s="16" t="s">
        <v>74</v>
      </c>
      <c r="N133" s="12"/>
      <c r="O133" s="14" t="n">
        <f aca="false">IF(K133="","",ROUND((説明!$B$4-DATE(K133,IF(L133="",7,L133),1))/365.25,1))</f>
        <v>1.9</v>
      </c>
      <c r="P133" s="14" t="n">
        <f aca="false">IF(J133="","",IF(AND(J133=K133,L133&lt;&gt;""),O133,ROUND((説明!$B$4-DATE(J133,7,1))/365.25,1)))</f>
        <v>1.9</v>
      </c>
      <c r="Q133" s="12" t="s">
        <v>106</v>
      </c>
      <c r="R133" s="12"/>
      <c r="S133" s="10" t="s">
        <v>58</v>
      </c>
      <c r="T133" s="15" t="s">
        <v>585</v>
      </c>
      <c r="U133" s="12" t="s">
        <v>463</v>
      </c>
    </row>
    <row r="134" customFormat="false" ht="29.85" hidden="false" customHeight="false" outlineLevel="0" collapsed="false">
      <c r="A134" s="10" t="n">
        <v>133</v>
      </c>
      <c r="B134" s="11" t="s">
        <v>303</v>
      </c>
      <c r="C134" s="11" t="s">
        <v>586</v>
      </c>
      <c r="D134" s="12" t="s">
        <v>587</v>
      </c>
      <c r="E134" s="12" t="s">
        <v>588</v>
      </c>
      <c r="F134" s="12"/>
      <c r="G134" s="12" t="s">
        <v>88</v>
      </c>
      <c r="H134" s="12" t="s">
        <v>151</v>
      </c>
      <c r="I134" s="11" t="s">
        <v>204</v>
      </c>
      <c r="J134" s="13" t="n">
        <v>2025</v>
      </c>
      <c r="K134" s="13" t="n">
        <v>2025</v>
      </c>
      <c r="L134" s="13" t="n">
        <v>10</v>
      </c>
      <c r="M134" s="16" t="s">
        <v>74</v>
      </c>
      <c r="N134" s="12"/>
      <c r="O134" s="14" t="n">
        <f aca="false">IF(K134="","",ROUND((説明!$B$4-DATE(K134,IF(L134="",7,L134),1))/365.25,1))</f>
        <v>1</v>
      </c>
      <c r="P134" s="14" t="n">
        <f aca="false">IF(J134="","",IF(AND(J134=K134,L134&lt;&gt;""),O134,ROUND((説明!$B$4-DATE(J134,7,1))/365.25,1)))</f>
        <v>1</v>
      </c>
      <c r="Q134" s="12" t="s">
        <v>153</v>
      </c>
      <c r="R134" s="12"/>
      <c r="S134" s="10" t="s">
        <v>58</v>
      </c>
      <c r="T134" s="15" t="s">
        <v>589</v>
      </c>
      <c r="U134" s="12"/>
    </row>
    <row r="135" customFormat="false" ht="29.85" hidden="false" customHeight="false" outlineLevel="0" collapsed="false">
      <c r="A135" s="10" t="n">
        <v>134</v>
      </c>
      <c r="B135" s="11" t="s">
        <v>303</v>
      </c>
      <c r="C135" s="11" t="s">
        <v>586</v>
      </c>
      <c r="D135" s="12" t="s">
        <v>587</v>
      </c>
      <c r="E135" s="12" t="s">
        <v>590</v>
      </c>
      <c r="F135" s="12"/>
      <c r="G135" s="12" t="s">
        <v>88</v>
      </c>
      <c r="H135" s="12" t="s">
        <v>151</v>
      </c>
      <c r="I135" s="11" t="s">
        <v>204</v>
      </c>
      <c r="J135" s="13" t="n">
        <v>2025</v>
      </c>
      <c r="K135" s="13" t="n">
        <v>2025</v>
      </c>
      <c r="L135" s="13"/>
      <c r="M135" s="16" t="s">
        <v>74</v>
      </c>
      <c r="N135" s="12"/>
      <c r="O135" s="14" t="n">
        <f aca="false">IF(K135="","",ROUND((説明!$B$4-DATE(K135,IF(L135="",7,L135),1))/365.25,1))</f>
        <v>1.3</v>
      </c>
      <c r="P135" s="14" t="n">
        <f aca="false">IF(J135="","",IF(AND(J135=K135,L135&lt;&gt;""),O135,ROUND((説明!$B$4-DATE(J135,7,1))/365.25,1)))</f>
        <v>1.3</v>
      </c>
      <c r="Q135" s="12" t="s">
        <v>153</v>
      </c>
      <c r="R135" s="12"/>
      <c r="S135" s="10" t="s">
        <v>108</v>
      </c>
      <c r="T135" s="15" t="s">
        <v>591</v>
      </c>
      <c r="U135" s="11" t="s">
        <v>518</v>
      </c>
    </row>
    <row r="136" customFormat="false" ht="29.85" hidden="false" customHeight="false" outlineLevel="0" collapsed="false">
      <c r="A136" s="10" t="n">
        <v>135</v>
      </c>
      <c r="B136" s="11" t="s">
        <v>303</v>
      </c>
      <c r="C136" s="11" t="s">
        <v>592</v>
      </c>
      <c r="D136" s="12" t="s">
        <v>593</v>
      </c>
      <c r="E136" s="12" t="s">
        <v>594</v>
      </c>
      <c r="F136" s="11" t="s">
        <v>595</v>
      </c>
      <c r="G136" s="12" t="s">
        <v>122</v>
      </c>
      <c r="H136" s="12" t="s">
        <v>151</v>
      </c>
      <c r="I136" s="11" t="s">
        <v>596</v>
      </c>
      <c r="J136" s="13" t="n">
        <v>2026</v>
      </c>
      <c r="K136" s="13" t="n">
        <v>2026</v>
      </c>
      <c r="L136" s="13" t="n">
        <v>3</v>
      </c>
      <c r="M136" s="16" t="s">
        <v>74</v>
      </c>
      <c r="N136" s="12"/>
      <c r="O136" s="14" t="n">
        <f aca="false">IF(K136="","",ROUND((説明!$B$4-DATE(K136,IF(L136="",7,L136),1))/365.25,1))</f>
        <v>0.6</v>
      </c>
      <c r="P136" s="14" t="n">
        <f aca="false">IF(J136="","",IF(AND(J136=K136,L136&lt;&gt;""),O136,ROUND((説明!$B$4-DATE(J136,7,1))/365.25,1)))</f>
        <v>0.6</v>
      </c>
      <c r="Q136" s="12" t="s">
        <v>106</v>
      </c>
      <c r="R136" s="12"/>
      <c r="S136" s="10" t="s">
        <v>58</v>
      </c>
      <c r="T136" s="15" t="s">
        <v>597</v>
      </c>
      <c r="U136" s="12" t="s">
        <v>598</v>
      </c>
    </row>
    <row r="137" customFormat="false" ht="29.85" hidden="false" customHeight="false" outlineLevel="0" collapsed="false">
      <c r="A137" s="10" t="n">
        <v>136</v>
      </c>
      <c r="B137" s="11" t="s">
        <v>303</v>
      </c>
      <c r="C137" s="11" t="s">
        <v>592</v>
      </c>
      <c r="D137" s="12" t="s">
        <v>593</v>
      </c>
      <c r="E137" s="12" t="s">
        <v>599</v>
      </c>
      <c r="F137" s="11" t="s">
        <v>600</v>
      </c>
      <c r="G137" s="11" t="s">
        <v>116</v>
      </c>
      <c r="H137" s="12" t="s">
        <v>151</v>
      </c>
      <c r="I137" s="11" t="s">
        <v>105</v>
      </c>
      <c r="J137" s="13"/>
      <c r="K137" s="13" t="n">
        <v>2024</v>
      </c>
      <c r="L137" s="13"/>
      <c r="M137" s="16" t="s">
        <v>74</v>
      </c>
      <c r="N137" s="12"/>
      <c r="O137" s="14" t="n">
        <f aca="false">IF(K137="","",ROUND((説明!$B$4-DATE(K137,IF(L137="",7,L137),1))/365.25,1))</f>
        <v>2.3</v>
      </c>
      <c r="P137" s="14" t="str">
        <f aca="false">IF(J137="","",IF(AND(J137=K137,L137&lt;&gt;""),O137,ROUND((説明!$B$4-DATE(J137,7,1))/365.25,1)))</f>
        <v/>
      </c>
      <c r="Q137" s="12" t="s">
        <v>153</v>
      </c>
      <c r="R137" s="12"/>
      <c r="S137" s="10" t="s">
        <v>108</v>
      </c>
      <c r="T137" s="12" t="s">
        <v>68</v>
      </c>
      <c r="U137" s="11" t="s">
        <v>518</v>
      </c>
    </row>
    <row r="138" customFormat="false" ht="29.85" hidden="false" customHeight="false" outlineLevel="0" collapsed="false">
      <c r="A138" s="10" t="n">
        <v>137</v>
      </c>
      <c r="B138" s="11" t="s">
        <v>303</v>
      </c>
      <c r="C138" s="11" t="s">
        <v>592</v>
      </c>
      <c r="D138" s="12" t="s">
        <v>593</v>
      </c>
      <c r="E138" s="12" t="s">
        <v>601</v>
      </c>
      <c r="F138" s="12"/>
      <c r="G138" s="11" t="s">
        <v>602</v>
      </c>
      <c r="H138" s="12" t="s">
        <v>151</v>
      </c>
      <c r="I138" s="11" t="s">
        <v>105</v>
      </c>
      <c r="J138" s="13" t="n">
        <v>2023</v>
      </c>
      <c r="K138" s="13" t="n">
        <v>2023</v>
      </c>
      <c r="L138" s="13"/>
      <c r="M138" s="16" t="s">
        <v>74</v>
      </c>
      <c r="N138" s="12"/>
      <c r="O138" s="14" t="n">
        <f aca="false">IF(K138="","",ROUND((説明!$B$4-DATE(K138,IF(L138="",7,L138),1))/365.25,1))</f>
        <v>3.3</v>
      </c>
      <c r="P138" s="14" t="n">
        <f aca="false">IF(J138="","",IF(AND(J138=K138,L138&lt;&gt;""),O138,ROUND((説明!$B$4-DATE(J138,7,1))/365.25,1)))</f>
        <v>3.3</v>
      </c>
      <c r="Q138" s="12" t="s">
        <v>164</v>
      </c>
      <c r="R138" s="12"/>
      <c r="S138" s="10" t="s">
        <v>108</v>
      </c>
      <c r="T138" s="12" t="s">
        <v>68</v>
      </c>
      <c r="U138" s="12"/>
    </row>
    <row r="139" customFormat="false" ht="29.85" hidden="false" customHeight="false" outlineLevel="0" collapsed="false">
      <c r="A139" s="10" t="n">
        <v>138</v>
      </c>
      <c r="B139" s="11" t="s">
        <v>303</v>
      </c>
      <c r="C139" s="11" t="s">
        <v>592</v>
      </c>
      <c r="D139" s="12" t="s">
        <v>593</v>
      </c>
      <c r="E139" s="12" t="s">
        <v>603</v>
      </c>
      <c r="F139" s="12"/>
      <c r="G139" s="11" t="s">
        <v>355</v>
      </c>
      <c r="H139" s="12" t="s">
        <v>151</v>
      </c>
      <c r="I139" s="11" t="s">
        <v>105</v>
      </c>
      <c r="J139" s="13" t="n">
        <v>2026</v>
      </c>
      <c r="K139" s="13" t="n">
        <v>2026</v>
      </c>
      <c r="L139" s="13" t="n">
        <v>4</v>
      </c>
      <c r="M139" s="16" t="s">
        <v>74</v>
      </c>
      <c r="N139" s="12"/>
      <c r="O139" s="14" t="n">
        <f aca="false">IF(K139="","",ROUND((説明!$B$4-DATE(K139,IF(L139="",7,L139),1))/365.25,1))</f>
        <v>0.5</v>
      </c>
      <c r="P139" s="14" t="n">
        <f aca="false">IF(J139="","",IF(AND(J139=K139,L139&lt;&gt;""),O139,ROUND((説明!$B$4-DATE(J139,7,1))/365.25,1)))</f>
        <v>0.5</v>
      </c>
      <c r="Q139" s="12" t="s">
        <v>164</v>
      </c>
      <c r="R139" s="12"/>
      <c r="S139" s="10" t="s">
        <v>67</v>
      </c>
      <c r="T139" s="15" t="s">
        <v>604</v>
      </c>
      <c r="U139" s="12" t="s">
        <v>605</v>
      </c>
    </row>
    <row r="140" customFormat="false" ht="15" hidden="false" customHeight="false" outlineLevel="0" collapsed="false">
      <c r="A140" s="10" t="n">
        <v>139</v>
      </c>
      <c r="B140" s="11" t="s">
        <v>303</v>
      </c>
      <c r="C140" s="11" t="s">
        <v>606</v>
      </c>
      <c r="D140" s="12" t="s">
        <v>607</v>
      </c>
      <c r="E140" s="12" t="s">
        <v>608</v>
      </c>
      <c r="F140" s="11" t="s">
        <v>609</v>
      </c>
      <c r="G140" s="11" t="s">
        <v>116</v>
      </c>
      <c r="H140" s="12" t="s">
        <v>151</v>
      </c>
      <c r="I140" s="11" t="s">
        <v>367</v>
      </c>
      <c r="J140" s="13" t="n">
        <v>2022</v>
      </c>
      <c r="K140" s="13" t="n">
        <v>2022</v>
      </c>
      <c r="L140" s="13"/>
      <c r="M140" s="16" t="s">
        <v>74</v>
      </c>
      <c r="N140" s="12"/>
      <c r="O140" s="14" t="n">
        <f aca="false">IF(K140="","",ROUND((説明!$B$4-DATE(K140,IF(L140="",7,L140),1))/365.25,1))</f>
        <v>4.3</v>
      </c>
      <c r="P140" s="14" t="n">
        <f aca="false">IF(J140="","",IF(AND(J140=K140,L140&lt;&gt;""),O140,ROUND((説明!$B$4-DATE(J140,7,1))/365.25,1)))</f>
        <v>4.3</v>
      </c>
      <c r="Q140" s="12" t="s">
        <v>153</v>
      </c>
      <c r="R140" s="11" t="s">
        <v>610</v>
      </c>
      <c r="S140" s="10" t="s">
        <v>108</v>
      </c>
      <c r="T140" s="12" t="s">
        <v>68</v>
      </c>
      <c r="U140" s="12"/>
    </row>
    <row r="141" customFormat="false" ht="15" hidden="false" customHeight="false" outlineLevel="0" collapsed="false">
      <c r="A141" s="10" t="n">
        <v>140</v>
      </c>
      <c r="B141" s="11" t="s">
        <v>611</v>
      </c>
      <c r="C141" s="11" t="s">
        <v>612</v>
      </c>
      <c r="D141" s="12" t="s">
        <v>613</v>
      </c>
      <c r="E141" s="12" t="s">
        <v>614</v>
      </c>
      <c r="F141" s="12"/>
      <c r="G141" s="12" t="s">
        <v>615</v>
      </c>
      <c r="H141" s="11" t="s">
        <v>63</v>
      </c>
      <c r="I141" s="11" t="s">
        <v>616</v>
      </c>
      <c r="J141" s="13" t="n">
        <v>2021</v>
      </c>
      <c r="K141" s="13" t="n">
        <v>2021</v>
      </c>
      <c r="L141" s="13"/>
      <c r="M141" s="16" t="s">
        <v>74</v>
      </c>
      <c r="N141" s="12"/>
      <c r="O141" s="14" t="n">
        <f aca="false">IF(K141="","",ROUND((説明!$B$4-DATE(K141,IF(L141="",7,L141),1))/365.25,1))</f>
        <v>5.3</v>
      </c>
      <c r="P141" s="14" t="n">
        <f aca="false">IF(J141="","",IF(AND(J141=K141,L141&lt;&gt;""),O141,ROUND((説明!$B$4-DATE(J141,7,1))/365.25,1)))</f>
        <v>5.3</v>
      </c>
      <c r="Q141" s="12" t="s">
        <v>153</v>
      </c>
      <c r="R141" s="12"/>
      <c r="S141" s="10" t="s">
        <v>108</v>
      </c>
      <c r="T141" s="12" t="s">
        <v>68</v>
      </c>
      <c r="U141" s="12"/>
    </row>
    <row r="142" customFormat="false" ht="15" hidden="false" customHeight="false" outlineLevel="0" collapsed="false">
      <c r="A142" s="10" t="n">
        <v>141</v>
      </c>
      <c r="B142" s="11" t="s">
        <v>611</v>
      </c>
      <c r="C142" s="11" t="s">
        <v>612</v>
      </c>
      <c r="D142" s="12" t="s">
        <v>613</v>
      </c>
      <c r="E142" s="12" t="s">
        <v>617</v>
      </c>
      <c r="F142" s="12"/>
      <c r="G142" s="12" t="s">
        <v>88</v>
      </c>
      <c r="H142" s="12" t="s">
        <v>89</v>
      </c>
      <c r="I142" s="11" t="s">
        <v>616</v>
      </c>
      <c r="J142" s="13"/>
      <c r="K142" s="13" t="n">
        <v>2025</v>
      </c>
      <c r="L142" s="13"/>
      <c r="M142" s="10"/>
      <c r="N142" s="12"/>
      <c r="O142" s="14" t="n">
        <f aca="false">IF(K142="","",ROUND((説明!$B$4-DATE(K142,IF(L142="",7,L142),1))/365.25,1))</f>
        <v>1.3</v>
      </c>
      <c r="P142" s="14" t="str">
        <f aca="false">IF(J142="","",IF(AND(J142=K142,L142&lt;&gt;""),O142,ROUND((説明!$B$4-DATE(J142,7,1))/365.25,1)))</f>
        <v/>
      </c>
      <c r="Q142" s="12" t="s">
        <v>153</v>
      </c>
      <c r="R142" s="12"/>
      <c r="S142" s="10" t="s">
        <v>108</v>
      </c>
      <c r="T142" s="12" t="s">
        <v>68</v>
      </c>
      <c r="U142" s="11" t="s">
        <v>618</v>
      </c>
    </row>
    <row r="143" customFormat="false" ht="15" hidden="false" customHeight="false" outlineLevel="0" collapsed="false">
      <c r="A143" s="10" t="n">
        <v>142</v>
      </c>
      <c r="B143" s="11" t="s">
        <v>611</v>
      </c>
      <c r="C143" s="11" t="s">
        <v>612</v>
      </c>
      <c r="D143" s="12" t="s">
        <v>613</v>
      </c>
      <c r="E143" s="12" t="s">
        <v>619</v>
      </c>
      <c r="F143" s="12"/>
      <c r="G143" s="12" t="s">
        <v>88</v>
      </c>
      <c r="H143" s="12" t="s">
        <v>151</v>
      </c>
      <c r="I143" s="11" t="s">
        <v>620</v>
      </c>
      <c r="J143" s="13" t="n">
        <v>2022</v>
      </c>
      <c r="K143" s="13" t="n">
        <v>2022</v>
      </c>
      <c r="L143" s="13"/>
      <c r="M143" s="16" t="s">
        <v>74</v>
      </c>
      <c r="N143" s="12"/>
      <c r="O143" s="14" t="n">
        <f aca="false">IF(K143="","",ROUND((説明!$B$4-DATE(K143,IF(L143="",7,L143),1))/365.25,1))</f>
        <v>4.3</v>
      </c>
      <c r="P143" s="14" t="n">
        <f aca="false">IF(J143="","",IF(AND(J143=K143,L143&lt;&gt;""),O143,ROUND((説明!$B$4-DATE(J143,7,1))/365.25,1)))</f>
        <v>4.3</v>
      </c>
      <c r="Q143" s="12" t="s">
        <v>153</v>
      </c>
      <c r="R143" s="12"/>
      <c r="S143" s="10" t="s">
        <v>108</v>
      </c>
      <c r="T143" s="12" t="s">
        <v>68</v>
      </c>
      <c r="U143" s="12"/>
    </row>
    <row r="144" customFormat="false" ht="15" hidden="false" customHeight="false" outlineLevel="0" collapsed="false">
      <c r="A144" s="10" t="n">
        <v>143</v>
      </c>
      <c r="B144" s="11" t="s">
        <v>611</v>
      </c>
      <c r="C144" s="11" t="s">
        <v>612</v>
      </c>
      <c r="D144" s="12" t="s">
        <v>613</v>
      </c>
      <c r="E144" s="12" t="s">
        <v>621</v>
      </c>
      <c r="F144" s="12"/>
      <c r="G144" s="12" t="s">
        <v>122</v>
      </c>
      <c r="H144" s="11" t="s">
        <v>117</v>
      </c>
      <c r="I144" s="11" t="s">
        <v>123</v>
      </c>
      <c r="J144" s="13" t="n">
        <v>2024</v>
      </c>
      <c r="K144" s="13" t="n">
        <v>2024</v>
      </c>
      <c r="L144" s="13"/>
      <c r="M144" s="16" t="s">
        <v>74</v>
      </c>
      <c r="N144" s="12"/>
      <c r="O144" s="14" t="n">
        <f aca="false">IF(K144="","",ROUND((説明!$B$4-DATE(K144,IF(L144="",7,L144),1))/365.25,1))</f>
        <v>2.3</v>
      </c>
      <c r="P144" s="14" t="n">
        <f aca="false">IF(J144="","",IF(AND(J144=K144,L144&lt;&gt;""),O144,ROUND((説明!$B$4-DATE(J144,7,1))/365.25,1)))</f>
        <v>2.3</v>
      </c>
      <c r="Q144" s="12" t="s">
        <v>153</v>
      </c>
      <c r="R144" s="12"/>
      <c r="S144" s="10" t="s">
        <v>108</v>
      </c>
      <c r="T144" s="12" t="s">
        <v>68</v>
      </c>
      <c r="U144" s="12"/>
    </row>
    <row r="145" customFormat="false" ht="29.85" hidden="false" customHeight="false" outlineLevel="0" collapsed="false">
      <c r="A145" s="10" t="n">
        <v>144</v>
      </c>
      <c r="B145" s="11" t="s">
        <v>611</v>
      </c>
      <c r="C145" s="11" t="s">
        <v>612</v>
      </c>
      <c r="D145" s="12" t="s">
        <v>613</v>
      </c>
      <c r="E145" s="12" t="s">
        <v>622</v>
      </c>
      <c r="F145" s="12"/>
      <c r="G145" s="12" t="s">
        <v>88</v>
      </c>
      <c r="H145" s="12" t="s">
        <v>89</v>
      </c>
      <c r="I145" s="11" t="s">
        <v>616</v>
      </c>
      <c r="J145" s="13"/>
      <c r="K145" s="13" t="n">
        <v>2026</v>
      </c>
      <c r="L145" s="13"/>
      <c r="M145" s="10"/>
      <c r="N145" s="12"/>
      <c r="O145" s="14" t="n">
        <f aca="false">IF(K145="","",ROUND((説明!$B$4-DATE(K145,IF(L145="",7,L145),1))/365.25,1))</f>
        <v>0.3</v>
      </c>
      <c r="P145" s="14" t="str">
        <f aca="false">IF(J145="","",IF(AND(J145=K145,L145&lt;&gt;""),O145,ROUND((説明!$B$4-DATE(J145,7,1))/365.25,1)))</f>
        <v/>
      </c>
      <c r="Q145" s="12" t="s">
        <v>153</v>
      </c>
      <c r="R145" s="12" t="s">
        <v>623</v>
      </c>
      <c r="S145" s="10" t="s">
        <v>108</v>
      </c>
      <c r="T145" s="12" t="s">
        <v>68</v>
      </c>
      <c r="U145" s="12"/>
    </row>
    <row r="146" customFormat="false" ht="15" hidden="false" customHeight="false" outlineLevel="0" collapsed="false">
      <c r="A146" s="10" t="n">
        <v>145</v>
      </c>
      <c r="B146" s="11" t="s">
        <v>611</v>
      </c>
      <c r="C146" s="11" t="s">
        <v>612</v>
      </c>
      <c r="D146" s="12" t="s">
        <v>613</v>
      </c>
      <c r="E146" s="12" t="s">
        <v>624</v>
      </c>
      <c r="F146" s="12"/>
      <c r="G146" s="12" t="s">
        <v>88</v>
      </c>
      <c r="H146" s="11" t="s">
        <v>117</v>
      </c>
      <c r="I146" s="11" t="s">
        <v>123</v>
      </c>
      <c r="J146" s="13" t="n">
        <v>2023</v>
      </c>
      <c r="K146" s="13" t="n">
        <v>2023</v>
      </c>
      <c r="L146" s="13"/>
      <c r="M146" s="16" t="s">
        <v>74</v>
      </c>
      <c r="N146" s="12"/>
      <c r="O146" s="14" t="n">
        <f aca="false">IF(K146="","",ROUND((説明!$B$4-DATE(K146,IF(L146="",7,L146),1))/365.25,1))</f>
        <v>3.3</v>
      </c>
      <c r="P146" s="14" t="n">
        <f aca="false">IF(J146="","",IF(AND(J146=K146,L146&lt;&gt;""),O146,ROUND((説明!$B$4-DATE(J146,7,1))/365.25,1)))</f>
        <v>3.3</v>
      </c>
      <c r="Q146" s="12" t="s">
        <v>164</v>
      </c>
      <c r="R146" s="12"/>
      <c r="S146" s="10" t="s">
        <v>108</v>
      </c>
      <c r="T146" s="12" t="s">
        <v>68</v>
      </c>
      <c r="U146" s="12"/>
    </row>
    <row r="147" customFormat="false" ht="15" hidden="false" customHeight="false" outlineLevel="0" collapsed="false">
      <c r="A147" s="10" t="n">
        <v>146</v>
      </c>
      <c r="B147" s="11" t="s">
        <v>611</v>
      </c>
      <c r="C147" s="11" t="s">
        <v>625</v>
      </c>
      <c r="D147" s="12" t="s">
        <v>626</v>
      </c>
      <c r="E147" s="12" t="s">
        <v>627</v>
      </c>
      <c r="F147" s="12"/>
      <c r="G147" s="12" t="s">
        <v>122</v>
      </c>
      <c r="H147" s="11" t="s">
        <v>628</v>
      </c>
      <c r="I147" s="11" t="s">
        <v>616</v>
      </c>
      <c r="J147" s="13"/>
      <c r="K147" s="13" t="n">
        <v>2021</v>
      </c>
      <c r="L147" s="13"/>
      <c r="M147" s="10"/>
      <c r="N147" s="12" t="s">
        <v>629</v>
      </c>
      <c r="O147" s="14" t="n">
        <f aca="false">IF(K147="","",ROUND((説明!$B$4-DATE(K147,IF(L147="",7,L147),1))/365.25,1))</f>
        <v>5.3</v>
      </c>
      <c r="P147" s="14" t="str">
        <f aca="false">IF(J147="","",IF(AND(J147=K147,L147&lt;&gt;""),O147,ROUND((説明!$B$4-DATE(J147,7,1))/365.25,1)))</f>
        <v/>
      </c>
      <c r="Q147" s="12" t="s">
        <v>153</v>
      </c>
      <c r="R147" s="12"/>
      <c r="S147" s="10" t="s">
        <v>108</v>
      </c>
      <c r="T147" s="12" t="s">
        <v>68</v>
      </c>
      <c r="U147" s="11" t="s">
        <v>280</v>
      </c>
    </row>
    <row r="148" customFormat="false" ht="15" hidden="false" customHeight="false" outlineLevel="0" collapsed="false">
      <c r="A148" s="10" t="n">
        <v>147</v>
      </c>
      <c r="B148" s="11" t="s">
        <v>611</v>
      </c>
      <c r="C148" s="11" t="s">
        <v>625</v>
      </c>
      <c r="D148" s="12" t="s">
        <v>626</v>
      </c>
      <c r="E148" s="12" t="s">
        <v>630</v>
      </c>
      <c r="F148" s="12"/>
      <c r="G148" s="12" t="s">
        <v>88</v>
      </c>
      <c r="H148" s="12" t="s">
        <v>151</v>
      </c>
      <c r="I148" s="11" t="s">
        <v>204</v>
      </c>
      <c r="J148" s="13" t="n">
        <v>2024</v>
      </c>
      <c r="K148" s="13" t="n">
        <v>2024</v>
      </c>
      <c r="L148" s="13"/>
      <c r="M148" s="16" t="s">
        <v>74</v>
      </c>
      <c r="N148" s="12"/>
      <c r="O148" s="14" t="n">
        <f aca="false">IF(K148="","",ROUND((説明!$B$4-DATE(K148,IF(L148="",7,L148),1))/365.25,1))</f>
        <v>2.3</v>
      </c>
      <c r="P148" s="14" t="n">
        <f aca="false">IF(J148="","",IF(AND(J148=K148,L148&lt;&gt;""),O148,ROUND((説明!$B$4-DATE(J148,7,1))/365.25,1)))</f>
        <v>2.3</v>
      </c>
      <c r="Q148" s="12" t="s">
        <v>153</v>
      </c>
      <c r="R148" s="12"/>
      <c r="S148" s="10" t="s">
        <v>108</v>
      </c>
      <c r="T148" s="12" t="s">
        <v>68</v>
      </c>
      <c r="U148" s="12"/>
    </row>
    <row r="149" customFormat="false" ht="15" hidden="false" customHeight="false" outlineLevel="0" collapsed="false">
      <c r="A149" s="10" t="n">
        <v>148</v>
      </c>
      <c r="B149" s="11" t="s">
        <v>611</v>
      </c>
      <c r="C149" s="11" t="s">
        <v>625</v>
      </c>
      <c r="D149" s="12" t="s">
        <v>626</v>
      </c>
      <c r="E149" s="12" t="s">
        <v>631</v>
      </c>
      <c r="F149" s="12"/>
      <c r="G149" s="11" t="s">
        <v>104</v>
      </c>
      <c r="H149" s="12" t="s">
        <v>151</v>
      </c>
      <c r="I149" s="11" t="s">
        <v>616</v>
      </c>
      <c r="J149" s="13" t="n">
        <v>2026</v>
      </c>
      <c r="K149" s="13" t="n">
        <v>2026</v>
      </c>
      <c r="L149" s="13"/>
      <c r="M149" s="16" t="s">
        <v>74</v>
      </c>
      <c r="N149" s="12"/>
      <c r="O149" s="14" t="n">
        <f aca="false">IF(K149="","",ROUND((説明!$B$4-DATE(K149,IF(L149="",7,L149),1))/365.25,1))</f>
        <v>0.3</v>
      </c>
      <c r="P149" s="14" t="n">
        <f aca="false">IF(J149="","",IF(AND(J149=K149,L149&lt;&gt;""),O149,ROUND((説明!$B$4-DATE(J149,7,1))/365.25,1)))</f>
        <v>0.3</v>
      </c>
      <c r="Q149" s="12" t="s">
        <v>153</v>
      </c>
      <c r="R149" s="12"/>
      <c r="S149" s="10" t="s">
        <v>108</v>
      </c>
      <c r="T149" s="12" t="s">
        <v>68</v>
      </c>
      <c r="U149" s="12"/>
    </row>
    <row r="150" customFormat="false" ht="15" hidden="false" customHeight="false" outlineLevel="0" collapsed="false">
      <c r="A150" s="10" t="n">
        <v>149</v>
      </c>
      <c r="B150" s="11" t="s">
        <v>611</v>
      </c>
      <c r="C150" s="11" t="s">
        <v>625</v>
      </c>
      <c r="D150" s="12" t="s">
        <v>626</v>
      </c>
      <c r="E150" s="12" t="s">
        <v>632</v>
      </c>
      <c r="F150" s="12"/>
      <c r="G150" s="12" t="s">
        <v>88</v>
      </c>
      <c r="H150" s="12" t="s">
        <v>170</v>
      </c>
      <c r="I150" s="11" t="s">
        <v>616</v>
      </c>
      <c r="J150" s="13"/>
      <c r="K150" s="13" t="n">
        <v>2024</v>
      </c>
      <c r="L150" s="13"/>
      <c r="M150" s="10"/>
      <c r="N150" s="12"/>
      <c r="O150" s="14" t="n">
        <f aca="false">IF(K150="","",ROUND((説明!$B$4-DATE(K150,IF(L150="",7,L150),1))/365.25,1))</f>
        <v>2.3</v>
      </c>
      <c r="P150" s="14" t="str">
        <f aca="false">IF(J150="","",IF(AND(J150=K150,L150&lt;&gt;""),O150,ROUND((説明!$B$4-DATE(J150,7,1))/365.25,1)))</f>
        <v/>
      </c>
      <c r="Q150" s="12" t="s">
        <v>164</v>
      </c>
      <c r="R150" s="12"/>
      <c r="S150" s="10" t="s">
        <v>108</v>
      </c>
      <c r="T150" s="12" t="s">
        <v>68</v>
      </c>
      <c r="U150" s="12"/>
    </row>
    <row r="151" customFormat="false" ht="29.85" hidden="false" customHeight="false" outlineLevel="0" collapsed="false">
      <c r="A151" s="10" t="n">
        <v>150</v>
      </c>
      <c r="B151" s="11" t="s">
        <v>633</v>
      </c>
      <c r="C151" s="11" t="s">
        <v>634</v>
      </c>
      <c r="D151" s="12" t="s">
        <v>635</v>
      </c>
      <c r="E151" s="12" t="s">
        <v>636</v>
      </c>
      <c r="F151" s="12"/>
      <c r="G151" s="11" t="s">
        <v>52</v>
      </c>
      <c r="H151" s="11" t="s">
        <v>63</v>
      </c>
      <c r="I151" s="11" t="s">
        <v>54</v>
      </c>
      <c r="J151" s="13" t="n">
        <v>1998</v>
      </c>
      <c r="K151" s="13" t="n">
        <v>2022</v>
      </c>
      <c r="L151" s="13" t="n">
        <v>3</v>
      </c>
      <c r="M151" s="10" t="n">
        <v>2011</v>
      </c>
      <c r="N151" s="12"/>
      <c r="O151" s="14" t="n">
        <f aca="false">IF(K151="","",ROUND((説明!$B$4-DATE(K151,IF(L151="",7,L151),1))/365.25,1))</f>
        <v>4.6</v>
      </c>
      <c r="P151" s="14" t="n">
        <f aca="false">IF(J151="","",IF(AND(J151=K151,L151&lt;&gt;""),O151,ROUND((説明!$B$4-DATE(J151,7,1))/365.25,1)))</f>
        <v>28.3</v>
      </c>
      <c r="Q151" s="12" t="s">
        <v>99</v>
      </c>
      <c r="R151" s="12"/>
      <c r="S151" s="10" t="s">
        <v>58</v>
      </c>
      <c r="T151" s="15" t="s">
        <v>637</v>
      </c>
      <c r="U151" s="11" t="s">
        <v>638</v>
      </c>
    </row>
    <row r="152" customFormat="false" ht="29.85" hidden="false" customHeight="false" outlineLevel="0" collapsed="false">
      <c r="A152" s="10" t="n">
        <v>151</v>
      </c>
      <c r="B152" s="11" t="s">
        <v>633</v>
      </c>
      <c r="C152" s="11" t="s">
        <v>634</v>
      </c>
      <c r="D152" s="12" t="s">
        <v>635</v>
      </c>
      <c r="E152" s="12" t="s">
        <v>639</v>
      </c>
      <c r="F152" s="12"/>
      <c r="G152" s="11" t="s">
        <v>52</v>
      </c>
      <c r="H152" s="11" t="s">
        <v>73</v>
      </c>
      <c r="I152" s="11" t="s">
        <v>54</v>
      </c>
      <c r="J152" s="13" t="n">
        <v>2018</v>
      </c>
      <c r="K152" s="13" t="n">
        <v>2022</v>
      </c>
      <c r="L152" s="13" t="n">
        <v>3</v>
      </c>
      <c r="M152" s="10" t="n">
        <v>2018</v>
      </c>
      <c r="N152" s="12"/>
      <c r="O152" s="14" t="n">
        <f aca="false">IF(K152="","",ROUND((説明!$B$4-DATE(K152,IF(L152="",7,L152),1))/365.25,1))</f>
        <v>4.6</v>
      </c>
      <c r="P152" s="14" t="n">
        <f aca="false">IF(J152="","",IF(AND(J152=K152,L152&lt;&gt;""),O152,ROUND((説明!$B$4-DATE(J152,7,1))/365.25,1)))</f>
        <v>8.3</v>
      </c>
      <c r="Q152" s="11" t="s">
        <v>640</v>
      </c>
      <c r="R152" s="11" t="s">
        <v>216</v>
      </c>
      <c r="S152" s="10" t="s">
        <v>58</v>
      </c>
      <c r="T152" s="15" t="s">
        <v>637</v>
      </c>
      <c r="U152" s="11" t="s">
        <v>641</v>
      </c>
    </row>
    <row r="153" customFormat="false" ht="15" hidden="false" customHeight="false" outlineLevel="0" collapsed="false">
      <c r="A153" s="10" t="n">
        <v>152</v>
      </c>
      <c r="B153" s="11" t="s">
        <v>633</v>
      </c>
      <c r="C153" s="11" t="s">
        <v>634</v>
      </c>
      <c r="D153" s="12" t="s">
        <v>635</v>
      </c>
      <c r="E153" s="12" t="s">
        <v>642</v>
      </c>
      <c r="F153" s="12" t="s">
        <v>643</v>
      </c>
      <c r="G153" s="12" t="s">
        <v>97</v>
      </c>
      <c r="H153" s="11" t="s">
        <v>63</v>
      </c>
      <c r="I153" s="11" t="s">
        <v>54</v>
      </c>
      <c r="J153" s="13" t="n">
        <v>2003</v>
      </c>
      <c r="K153" s="13" t="n">
        <v>2022</v>
      </c>
      <c r="L153" s="13" t="n">
        <v>3</v>
      </c>
      <c r="M153" s="10" t="n">
        <v>2015</v>
      </c>
      <c r="N153" s="12"/>
      <c r="O153" s="14" t="n">
        <f aca="false">IF(K153="","",ROUND((説明!$B$4-DATE(K153,IF(L153="",7,L153),1))/365.25,1))</f>
        <v>4.6</v>
      </c>
      <c r="P153" s="14" t="n">
        <f aca="false">IF(J153="","",IF(AND(J153=K153,L153&lt;&gt;""),O153,ROUND((説明!$B$4-DATE(J153,7,1))/365.25,1)))</f>
        <v>23.3</v>
      </c>
      <c r="Q153" s="12" t="s">
        <v>106</v>
      </c>
      <c r="R153" s="12"/>
      <c r="S153" s="10" t="s">
        <v>58</v>
      </c>
      <c r="T153" s="15" t="s">
        <v>637</v>
      </c>
      <c r="U153" s="12"/>
    </row>
    <row r="154" customFormat="false" ht="15" hidden="false" customHeight="false" outlineLevel="0" collapsed="false">
      <c r="A154" s="10" t="n">
        <v>153</v>
      </c>
      <c r="B154" s="11" t="s">
        <v>633</v>
      </c>
      <c r="C154" s="11" t="s">
        <v>644</v>
      </c>
      <c r="D154" s="12" t="s">
        <v>645</v>
      </c>
      <c r="E154" s="12" t="s">
        <v>646</v>
      </c>
      <c r="F154" s="12" t="s">
        <v>647</v>
      </c>
      <c r="G154" s="11" t="s">
        <v>80</v>
      </c>
      <c r="H154" s="12" t="s">
        <v>151</v>
      </c>
      <c r="I154" s="11" t="s">
        <v>204</v>
      </c>
      <c r="J154" s="13" t="n">
        <v>2022</v>
      </c>
      <c r="K154" s="13" t="n">
        <v>2023</v>
      </c>
      <c r="L154" s="13" t="n">
        <v>9</v>
      </c>
      <c r="M154" s="10" t="n">
        <v>2022</v>
      </c>
      <c r="N154" s="12"/>
      <c r="O154" s="14" t="n">
        <f aca="false">IF(K154="","",ROUND((説明!$B$4-DATE(K154,IF(L154="",7,L154),1))/365.25,1))</f>
        <v>3.1</v>
      </c>
      <c r="P154" s="14" t="n">
        <f aca="false">IF(J154="","",IF(AND(J154=K154,L154&lt;&gt;""),O154,ROUND((説明!$B$4-DATE(J154,7,1))/365.25,1)))</f>
        <v>4.3</v>
      </c>
      <c r="Q154" s="12" t="s">
        <v>106</v>
      </c>
      <c r="R154" s="12"/>
      <c r="S154" s="10" t="s">
        <v>67</v>
      </c>
      <c r="T154" s="12" t="s">
        <v>68</v>
      </c>
      <c r="U154" s="11" t="s">
        <v>648</v>
      </c>
    </row>
    <row r="155" customFormat="false" ht="29.85" hidden="false" customHeight="false" outlineLevel="0" collapsed="false">
      <c r="A155" s="10" t="n">
        <v>154</v>
      </c>
      <c r="B155" s="11" t="s">
        <v>633</v>
      </c>
      <c r="C155" s="11" t="s">
        <v>644</v>
      </c>
      <c r="D155" s="12" t="s">
        <v>645</v>
      </c>
      <c r="E155" s="12" t="s">
        <v>649</v>
      </c>
      <c r="F155" s="12" t="s">
        <v>650</v>
      </c>
      <c r="G155" s="12" t="s">
        <v>88</v>
      </c>
      <c r="H155" s="12" t="s">
        <v>151</v>
      </c>
      <c r="I155" s="11" t="s">
        <v>204</v>
      </c>
      <c r="J155" s="13" t="n">
        <v>2022</v>
      </c>
      <c r="K155" s="13" t="n">
        <v>2025</v>
      </c>
      <c r="L155" s="13" t="n">
        <v>1</v>
      </c>
      <c r="M155" s="10" t="n">
        <v>2022</v>
      </c>
      <c r="N155" s="12"/>
      <c r="O155" s="14" t="n">
        <f aca="false">IF(K155="","",ROUND((説明!$B$4-DATE(K155,IF(L155="",7,L155),1))/365.25,1))</f>
        <v>1.7</v>
      </c>
      <c r="P155" s="14" t="n">
        <f aca="false">IF(J155="","",IF(AND(J155=K155,L155&lt;&gt;""),O155,ROUND((説明!$B$4-DATE(J155,7,1))/365.25,1)))</f>
        <v>4.3</v>
      </c>
      <c r="Q155" s="12" t="s">
        <v>106</v>
      </c>
      <c r="R155" s="11" t="s">
        <v>651</v>
      </c>
      <c r="S155" s="10" t="s">
        <v>58</v>
      </c>
      <c r="T155" s="15" t="s">
        <v>652</v>
      </c>
      <c r="U155" s="12" t="s">
        <v>653</v>
      </c>
    </row>
    <row r="156" customFormat="false" ht="29.85" hidden="false" customHeight="false" outlineLevel="0" collapsed="false">
      <c r="A156" s="10" t="n">
        <v>155</v>
      </c>
      <c r="B156" s="11" t="s">
        <v>654</v>
      </c>
      <c r="C156" s="11" t="s">
        <v>655</v>
      </c>
      <c r="D156" s="12" t="s">
        <v>656</v>
      </c>
      <c r="E156" s="12" t="s">
        <v>657</v>
      </c>
      <c r="F156" s="12"/>
      <c r="G156" s="11" t="s">
        <v>80</v>
      </c>
      <c r="H156" s="12" t="s">
        <v>658</v>
      </c>
      <c r="I156" s="11" t="s">
        <v>659</v>
      </c>
      <c r="J156" s="13"/>
      <c r="K156" s="13" t="n">
        <v>2022</v>
      </c>
      <c r="L156" s="13"/>
      <c r="M156" s="10"/>
      <c r="N156" s="12"/>
      <c r="O156" s="14" t="n">
        <f aca="false">IF(K156="","",ROUND((説明!$B$4-DATE(K156,IF(L156="",7,L156),1))/365.25,1))</f>
        <v>4.3</v>
      </c>
      <c r="P156" s="14" t="str">
        <f aca="false">IF(J156="","",IF(AND(J156=K156,L156&lt;&gt;""),O156,ROUND((説明!$B$4-DATE(J156,7,1))/365.25,1)))</f>
        <v/>
      </c>
      <c r="Q156" s="12" t="s">
        <v>153</v>
      </c>
      <c r="R156" s="12"/>
      <c r="S156" s="10" t="s">
        <v>108</v>
      </c>
      <c r="T156" s="12" t="s">
        <v>68</v>
      </c>
      <c r="U156" s="12" t="s">
        <v>660</v>
      </c>
    </row>
    <row r="157" customFormat="false" ht="29.85" hidden="false" customHeight="false" outlineLevel="0" collapsed="false">
      <c r="A157" s="10" t="n">
        <v>156</v>
      </c>
      <c r="B157" s="11" t="s">
        <v>654</v>
      </c>
      <c r="C157" s="11" t="s">
        <v>655</v>
      </c>
      <c r="D157" s="12" t="s">
        <v>656</v>
      </c>
      <c r="E157" s="12" t="s">
        <v>661</v>
      </c>
      <c r="F157" s="12"/>
      <c r="G157" s="11" t="s">
        <v>80</v>
      </c>
      <c r="H157" s="12" t="s">
        <v>318</v>
      </c>
      <c r="I157" s="11" t="s">
        <v>659</v>
      </c>
      <c r="J157" s="13"/>
      <c r="K157" s="13" t="n">
        <v>2024</v>
      </c>
      <c r="L157" s="13"/>
      <c r="M157" s="10"/>
      <c r="N157" s="12"/>
      <c r="O157" s="14" t="n">
        <f aca="false">IF(K157="","",ROUND((説明!$B$4-DATE(K157,IF(L157="",7,L157),1))/365.25,1))</f>
        <v>2.3</v>
      </c>
      <c r="P157" s="14" t="str">
        <f aca="false">IF(J157="","",IF(AND(J157=K157,L157&lt;&gt;""),O157,ROUND((説明!$B$4-DATE(J157,7,1))/365.25,1)))</f>
        <v/>
      </c>
      <c r="Q157" s="12" t="s">
        <v>153</v>
      </c>
      <c r="R157" s="12"/>
      <c r="S157" s="10" t="s">
        <v>108</v>
      </c>
      <c r="T157" s="12" t="s">
        <v>68</v>
      </c>
      <c r="U157" s="12" t="s">
        <v>662</v>
      </c>
    </row>
    <row r="158" customFormat="false" ht="29.85" hidden="false" customHeight="false" outlineLevel="0" collapsed="false">
      <c r="A158" s="10" t="n">
        <v>157</v>
      </c>
      <c r="B158" s="11" t="s">
        <v>654</v>
      </c>
      <c r="C158" s="11" t="s">
        <v>655</v>
      </c>
      <c r="D158" s="12" t="s">
        <v>656</v>
      </c>
      <c r="E158" s="12" t="s">
        <v>663</v>
      </c>
      <c r="F158" s="12"/>
      <c r="G158" s="12" t="s">
        <v>88</v>
      </c>
      <c r="H158" s="12" t="s">
        <v>318</v>
      </c>
      <c r="I158" s="11" t="s">
        <v>659</v>
      </c>
      <c r="J158" s="13"/>
      <c r="K158" s="13" t="n">
        <v>2023</v>
      </c>
      <c r="L158" s="13"/>
      <c r="M158" s="10"/>
      <c r="N158" s="12"/>
      <c r="O158" s="14" t="n">
        <f aca="false">IF(K158="","",ROUND((説明!$B$4-DATE(K158,IF(L158="",7,L158),1))/365.25,1))</f>
        <v>3.3</v>
      </c>
      <c r="P158" s="14" t="str">
        <f aca="false">IF(J158="","",IF(AND(J158=K158,L158&lt;&gt;""),O158,ROUND((説明!$B$4-DATE(J158,7,1))/365.25,1)))</f>
        <v/>
      </c>
      <c r="Q158" s="12" t="s">
        <v>153</v>
      </c>
      <c r="R158" s="12"/>
      <c r="S158" s="10" t="s">
        <v>108</v>
      </c>
      <c r="T158" s="12" t="s">
        <v>68</v>
      </c>
      <c r="U158" s="12" t="s">
        <v>664</v>
      </c>
    </row>
    <row r="159" customFormat="false" ht="29.85" hidden="false" customHeight="false" outlineLevel="0" collapsed="false">
      <c r="A159" s="10" t="n">
        <v>158</v>
      </c>
      <c r="B159" s="11" t="s">
        <v>654</v>
      </c>
      <c r="C159" s="11" t="s">
        <v>655</v>
      </c>
      <c r="D159" s="12" t="s">
        <v>656</v>
      </c>
      <c r="E159" s="12" t="s">
        <v>665</v>
      </c>
      <c r="F159" s="12"/>
      <c r="G159" s="11" t="s">
        <v>163</v>
      </c>
      <c r="H159" s="11" t="s">
        <v>117</v>
      </c>
      <c r="I159" s="11" t="s">
        <v>105</v>
      </c>
      <c r="J159" s="13" t="n">
        <v>2024</v>
      </c>
      <c r="K159" s="13" t="n">
        <v>2024</v>
      </c>
      <c r="L159" s="13"/>
      <c r="M159" s="16" t="s">
        <v>74</v>
      </c>
      <c r="N159" s="12"/>
      <c r="O159" s="14" t="n">
        <f aca="false">IF(K159="","",ROUND((説明!$B$4-DATE(K159,IF(L159="",7,L159),1))/365.25,1))</f>
        <v>2.3</v>
      </c>
      <c r="P159" s="14" t="n">
        <f aca="false">IF(J159="","",IF(AND(J159=K159,L159&lt;&gt;""),O159,ROUND((説明!$B$4-DATE(J159,7,1))/365.25,1)))</f>
        <v>2.3</v>
      </c>
      <c r="Q159" s="12" t="s">
        <v>153</v>
      </c>
      <c r="R159" s="12"/>
      <c r="S159" s="10" t="s">
        <v>108</v>
      </c>
      <c r="T159" s="12" t="s">
        <v>68</v>
      </c>
      <c r="U159" s="12"/>
    </row>
    <row r="160" customFormat="false" ht="29.85" hidden="false" customHeight="false" outlineLevel="0" collapsed="false">
      <c r="A160" s="10" t="n">
        <v>159</v>
      </c>
      <c r="B160" s="11" t="s">
        <v>654</v>
      </c>
      <c r="C160" s="11" t="s">
        <v>655</v>
      </c>
      <c r="D160" s="12" t="s">
        <v>656</v>
      </c>
      <c r="E160" s="12" t="s">
        <v>666</v>
      </c>
      <c r="F160" s="12"/>
      <c r="G160" s="12" t="s">
        <v>88</v>
      </c>
      <c r="H160" s="11" t="s">
        <v>117</v>
      </c>
      <c r="I160" s="11" t="s">
        <v>105</v>
      </c>
      <c r="J160" s="13"/>
      <c r="K160" s="13" t="n">
        <v>2020</v>
      </c>
      <c r="L160" s="13"/>
      <c r="M160" s="10"/>
      <c r="N160" s="12"/>
      <c r="O160" s="14" t="n">
        <f aca="false">IF(K160="","",ROUND((説明!$B$4-DATE(K160,IF(L160="",7,L160),1))/365.25,1))</f>
        <v>6.3</v>
      </c>
      <c r="P160" s="14" t="str">
        <f aca="false">IF(J160="","",IF(AND(J160=K160,L160&lt;&gt;""),O160,ROUND((説明!$B$4-DATE(J160,7,1))/365.25,1)))</f>
        <v/>
      </c>
      <c r="Q160" s="12" t="s">
        <v>153</v>
      </c>
      <c r="R160" s="12"/>
      <c r="S160" s="10" t="s">
        <v>108</v>
      </c>
      <c r="T160" s="12" t="s">
        <v>68</v>
      </c>
      <c r="U160" s="12"/>
    </row>
    <row r="161" customFormat="false" ht="29.85" hidden="false" customHeight="false" outlineLevel="0" collapsed="false">
      <c r="A161" s="10" t="n">
        <v>160</v>
      </c>
      <c r="B161" s="11" t="s">
        <v>654</v>
      </c>
      <c r="C161" s="11" t="s">
        <v>655</v>
      </c>
      <c r="D161" s="12" t="s">
        <v>656</v>
      </c>
      <c r="E161" s="12" t="s">
        <v>667</v>
      </c>
      <c r="F161" s="12"/>
      <c r="G161" s="11" t="s">
        <v>163</v>
      </c>
      <c r="H161" s="11" t="s">
        <v>105</v>
      </c>
      <c r="I161" s="11" t="s">
        <v>105</v>
      </c>
      <c r="J161" s="13"/>
      <c r="K161" s="13"/>
      <c r="L161" s="13"/>
      <c r="M161" s="10"/>
      <c r="N161" s="12"/>
      <c r="O161" s="14" t="str">
        <f aca="false">IF(K161="","",ROUND((説明!$B$4-DATE(K161,IF(L161="",7,L161),1))/365.25,1))</f>
        <v/>
      </c>
      <c r="P161" s="14" t="str">
        <f aca="false">IF(J161="","",IF(AND(J161=K161,L161&lt;&gt;""),O161,ROUND((説明!$B$4-DATE(J161,7,1))/365.25,1)))</f>
        <v/>
      </c>
      <c r="Q161" s="12" t="s">
        <v>153</v>
      </c>
      <c r="R161" s="12"/>
      <c r="S161" s="10" t="s">
        <v>108</v>
      </c>
      <c r="T161" s="12" t="s">
        <v>68</v>
      </c>
      <c r="U161" s="11" t="s">
        <v>668</v>
      </c>
    </row>
    <row r="162" customFormat="false" ht="29.85" hidden="false" customHeight="false" outlineLevel="0" collapsed="false">
      <c r="A162" s="10" t="n">
        <v>161</v>
      </c>
      <c r="B162" s="11" t="s">
        <v>654</v>
      </c>
      <c r="C162" s="11" t="s">
        <v>655</v>
      </c>
      <c r="D162" s="12" t="s">
        <v>656</v>
      </c>
      <c r="E162" s="12" t="s">
        <v>669</v>
      </c>
      <c r="F162" s="12"/>
      <c r="G162" s="12" t="s">
        <v>88</v>
      </c>
      <c r="H162" s="12" t="s">
        <v>318</v>
      </c>
      <c r="I162" s="11" t="s">
        <v>659</v>
      </c>
      <c r="J162" s="13"/>
      <c r="K162" s="13" t="n">
        <v>2019</v>
      </c>
      <c r="L162" s="13"/>
      <c r="M162" s="10"/>
      <c r="N162" s="12"/>
      <c r="O162" s="14" t="n">
        <f aca="false">IF(K162="","",ROUND((説明!$B$4-DATE(K162,IF(L162="",7,L162),1))/365.25,1))</f>
        <v>7.3</v>
      </c>
      <c r="P162" s="14" t="str">
        <f aca="false">IF(J162="","",IF(AND(J162=K162,L162&lt;&gt;""),O162,ROUND((説明!$B$4-DATE(J162,7,1))/365.25,1)))</f>
        <v/>
      </c>
      <c r="Q162" s="12" t="s">
        <v>153</v>
      </c>
      <c r="R162" s="12"/>
      <c r="S162" s="10" t="s">
        <v>108</v>
      </c>
      <c r="T162" s="12" t="s">
        <v>68</v>
      </c>
      <c r="U162" s="12"/>
    </row>
    <row r="163" customFormat="false" ht="29.85" hidden="false" customHeight="false" outlineLevel="0" collapsed="false">
      <c r="A163" s="10" t="n">
        <v>162</v>
      </c>
      <c r="B163" s="11" t="s">
        <v>654</v>
      </c>
      <c r="C163" s="11" t="s">
        <v>655</v>
      </c>
      <c r="D163" s="12" t="s">
        <v>656</v>
      </c>
      <c r="E163" s="12" t="s">
        <v>670</v>
      </c>
      <c r="F163" s="12"/>
      <c r="G163" s="12" t="s">
        <v>88</v>
      </c>
      <c r="H163" s="12" t="s">
        <v>151</v>
      </c>
      <c r="I163" s="11" t="s">
        <v>105</v>
      </c>
      <c r="J163" s="13" t="n">
        <v>2023</v>
      </c>
      <c r="K163" s="13" t="n">
        <v>2023</v>
      </c>
      <c r="L163" s="13"/>
      <c r="M163" s="16" t="s">
        <v>74</v>
      </c>
      <c r="N163" s="12"/>
      <c r="O163" s="14" t="n">
        <f aca="false">IF(K163="","",ROUND((説明!$B$4-DATE(K163,IF(L163="",7,L163),1))/365.25,1))</f>
        <v>3.3</v>
      </c>
      <c r="P163" s="14" t="n">
        <f aca="false">IF(J163="","",IF(AND(J163=K163,L163&lt;&gt;""),O163,ROUND((説明!$B$4-DATE(J163,7,1))/365.25,1)))</f>
        <v>3.3</v>
      </c>
      <c r="Q163" s="12" t="s">
        <v>153</v>
      </c>
      <c r="R163" s="12"/>
      <c r="S163" s="10" t="s">
        <v>108</v>
      </c>
      <c r="T163" s="12" t="s">
        <v>68</v>
      </c>
      <c r="U163" s="12"/>
    </row>
    <row r="164" customFormat="false" ht="29.85" hidden="false" customHeight="false" outlineLevel="0" collapsed="false">
      <c r="A164" s="10" t="n">
        <v>163</v>
      </c>
      <c r="B164" s="11" t="s">
        <v>654</v>
      </c>
      <c r="C164" s="11" t="s">
        <v>655</v>
      </c>
      <c r="D164" s="12" t="s">
        <v>656</v>
      </c>
      <c r="E164" s="12" t="s">
        <v>671</v>
      </c>
      <c r="F164" s="12"/>
      <c r="G164" s="11" t="s">
        <v>80</v>
      </c>
      <c r="H164" s="11" t="s">
        <v>117</v>
      </c>
      <c r="I164" s="11" t="s">
        <v>105</v>
      </c>
      <c r="J164" s="13"/>
      <c r="K164" s="13" t="n">
        <v>2019</v>
      </c>
      <c r="L164" s="13"/>
      <c r="M164" s="10"/>
      <c r="N164" s="12"/>
      <c r="O164" s="14" t="n">
        <f aca="false">IF(K164="","",ROUND((説明!$B$4-DATE(K164,IF(L164="",7,L164),1))/365.25,1))</f>
        <v>7.3</v>
      </c>
      <c r="P164" s="14" t="str">
        <f aca="false">IF(J164="","",IF(AND(J164=K164,L164&lt;&gt;""),O164,ROUND((説明!$B$4-DATE(J164,7,1))/365.25,1)))</f>
        <v/>
      </c>
      <c r="Q164" s="12" t="s">
        <v>153</v>
      </c>
      <c r="R164" s="12"/>
      <c r="S164" s="10" t="s">
        <v>108</v>
      </c>
      <c r="T164" s="12" t="s">
        <v>68</v>
      </c>
      <c r="U164" s="12"/>
    </row>
    <row r="165" customFormat="false" ht="29.85" hidden="false" customHeight="false" outlineLevel="0" collapsed="false">
      <c r="A165" s="10" t="n">
        <v>164</v>
      </c>
      <c r="B165" s="11" t="s">
        <v>654</v>
      </c>
      <c r="C165" s="11" t="s">
        <v>655</v>
      </c>
      <c r="D165" s="12" t="s">
        <v>656</v>
      </c>
      <c r="E165" s="12" t="s">
        <v>672</v>
      </c>
      <c r="F165" s="12"/>
      <c r="G165" s="11" t="s">
        <v>80</v>
      </c>
      <c r="H165" s="12" t="s">
        <v>318</v>
      </c>
      <c r="I165" s="11" t="s">
        <v>659</v>
      </c>
      <c r="J165" s="13"/>
      <c r="K165" s="13" t="n">
        <v>2021</v>
      </c>
      <c r="L165" s="13"/>
      <c r="M165" s="10"/>
      <c r="N165" s="12"/>
      <c r="O165" s="14" t="n">
        <f aca="false">IF(K165="","",ROUND((説明!$B$4-DATE(K165,IF(L165="",7,L165),1))/365.25,1))</f>
        <v>5.3</v>
      </c>
      <c r="P165" s="14" t="str">
        <f aca="false">IF(J165="","",IF(AND(J165=K165,L165&lt;&gt;""),O165,ROUND((説明!$B$4-DATE(J165,7,1))/365.25,1)))</f>
        <v/>
      </c>
      <c r="Q165" s="12" t="s">
        <v>153</v>
      </c>
      <c r="R165" s="12"/>
      <c r="S165" s="10" t="s">
        <v>108</v>
      </c>
      <c r="T165" s="12" t="s">
        <v>68</v>
      </c>
      <c r="U165" s="12" t="s">
        <v>673</v>
      </c>
    </row>
    <row r="166" customFormat="false" ht="29.85" hidden="false" customHeight="false" outlineLevel="0" collapsed="false">
      <c r="A166" s="10" t="n">
        <v>165</v>
      </c>
      <c r="B166" s="11" t="s">
        <v>654</v>
      </c>
      <c r="C166" s="11" t="s">
        <v>655</v>
      </c>
      <c r="D166" s="12" t="s">
        <v>656</v>
      </c>
      <c r="E166" s="12" t="s">
        <v>674</v>
      </c>
      <c r="F166" s="12"/>
      <c r="G166" s="11" t="s">
        <v>80</v>
      </c>
      <c r="H166" s="11" t="s">
        <v>105</v>
      </c>
      <c r="I166" s="11" t="s">
        <v>105</v>
      </c>
      <c r="J166" s="13"/>
      <c r="K166" s="13" t="n">
        <v>2026</v>
      </c>
      <c r="L166" s="13"/>
      <c r="M166" s="10"/>
      <c r="N166" s="12"/>
      <c r="O166" s="14" t="n">
        <f aca="false">IF(K166="","",ROUND((説明!$B$4-DATE(K166,IF(L166="",7,L166),1))/365.25,1))</f>
        <v>0.3</v>
      </c>
      <c r="P166" s="14" t="str">
        <f aca="false">IF(J166="","",IF(AND(J166=K166,L166&lt;&gt;""),O166,ROUND((説明!$B$4-DATE(J166,7,1))/365.25,1)))</f>
        <v/>
      </c>
      <c r="Q166" s="12" t="s">
        <v>153</v>
      </c>
      <c r="R166" s="12"/>
      <c r="S166" s="10" t="s">
        <v>108</v>
      </c>
      <c r="T166" s="12" t="s">
        <v>68</v>
      </c>
      <c r="U166" s="11" t="s">
        <v>675</v>
      </c>
    </row>
    <row r="167" customFormat="false" ht="29.85" hidden="false" customHeight="false" outlineLevel="0" collapsed="false">
      <c r="A167" s="10" t="n">
        <v>166</v>
      </c>
      <c r="B167" s="11" t="s">
        <v>654</v>
      </c>
      <c r="C167" s="11" t="s">
        <v>655</v>
      </c>
      <c r="D167" s="12" t="s">
        <v>656</v>
      </c>
      <c r="E167" s="12" t="s">
        <v>676</v>
      </c>
      <c r="F167" s="12"/>
      <c r="G167" s="11" t="s">
        <v>80</v>
      </c>
      <c r="H167" s="12" t="s">
        <v>151</v>
      </c>
      <c r="I167" s="11" t="s">
        <v>105</v>
      </c>
      <c r="J167" s="13" t="n">
        <v>2022</v>
      </c>
      <c r="K167" s="13" t="n">
        <v>2022</v>
      </c>
      <c r="L167" s="13"/>
      <c r="M167" s="16" t="s">
        <v>74</v>
      </c>
      <c r="N167" s="12"/>
      <c r="O167" s="14" t="n">
        <f aca="false">IF(K167="","",ROUND((説明!$B$4-DATE(K167,IF(L167="",7,L167),1))/365.25,1))</f>
        <v>4.3</v>
      </c>
      <c r="P167" s="14" t="n">
        <f aca="false">IF(J167="","",IF(AND(J167=K167,L167&lt;&gt;""),O167,ROUND((説明!$B$4-DATE(J167,7,1))/365.25,1)))</f>
        <v>4.3</v>
      </c>
      <c r="Q167" s="12" t="s">
        <v>153</v>
      </c>
      <c r="R167" s="12"/>
      <c r="S167" s="10" t="s">
        <v>108</v>
      </c>
      <c r="T167" s="12" t="s">
        <v>68</v>
      </c>
      <c r="U167" s="12"/>
    </row>
    <row r="168" customFormat="false" ht="29.85" hidden="false" customHeight="false" outlineLevel="0" collapsed="false">
      <c r="A168" s="10" t="n">
        <v>167</v>
      </c>
      <c r="B168" s="11" t="s">
        <v>654</v>
      </c>
      <c r="C168" s="11" t="s">
        <v>655</v>
      </c>
      <c r="D168" s="12" t="s">
        <v>656</v>
      </c>
      <c r="E168" s="12" t="s">
        <v>677</v>
      </c>
      <c r="F168" s="12"/>
      <c r="G168" s="12" t="s">
        <v>88</v>
      </c>
      <c r="H168" s="12" t="s">
        <v>151</v>
      </c>
      <c r="I168" s="11" t="s">
        <v>105</v>
      </c>
      <c r="J168" s="13" t="n">
        <v>2023</v>
      </c>
      <c r="K168" s="13" t="n">
        <v>2023</v>
      </c>
      <c r="L168" s="13"/>
      <c r="M168" s="16" t="s">
        <v>74</v>
      </c>
      <c r="N168" s="12"/>
      <c r="O168" s="14" t="n">
        <f aca="false">IF(K168="","",ROUND((説明!$B$4-DATE(K168,IF(L168="",7,L168),1))/365.25,1))</f>
        <v>3.3</v>
      </c>
      <c r="P168" s="14" t="n">
        <f aca="false">IF(J168="","",IF(AND(J168=K168,L168&lt;&gt;""),O168,ROUND((説明!$B$4-DATE(J168,7,1))/365.25,1)))</f>
        <v>3.3</v>
      </c>
      <c r="Q168" s="12" t="s">
        <v>164</v>
      </c>
      <c r="R168" s="12"/>
      <c r="S168" s="10" t="s">
        <v>108</v>
      </c>
      <c r="T168" s="12" t="s">
        <v>68</v>
      </c>
      <c r="U168" s="12"/>
    </row>
    <row r="169" customFormat="false" ht="29.85" hidden="false" customHeight="false" outlineLevel="0" collapsed="false">
      <c r="A169" s="10" t="n">
        <v>168</v>
      </c>
      <c r="B169" s="11" t="s">
        <v>654</v>
      </c>
      <c r="C169" s="11" t="s">
        <v>655</v>
      </c>
      <c r="D169" s="12" t="s">
        <v>656</v>
      </c>
      <c r="E169" s="12" t="s">
        <v>678</v>
      </c>
      <c r="F169" s="12"/>
      <c r="G169" s="11" t="s">
        <v>104</v>
      </c>
      <c r="H169" s="11" t="s">
        <v>63</v>
      </c>
      <c r="I169" s="11" t="s">
        <v>105</v>
      </c>
      <c r="J169" s="13"/>
      <c r="K169" s="13"/>
      <c r="L169" s="13"/>
      <c r="M169" s="10"/>
      <c r="N169" s="12"/>
      <c r="O169" s="14" t="str">
        <f aca="false">IF(K169="","",ROUND((説明!$B$4-DATE(K169,IF(L169="",7,L169),1))/365.25,1))</f>
        <v/>
      </c>
      <c r="P169" s="14" t="str">
        <f aca="false">IF(J169="","",IF(AND(J169=K169,L169&lt;&gt;""),O169,ROUND((説明!$B$4-DATE(J169,7,1))/365.25,1)))</f>
        <v/>
      </c>
      <c r="Q169" s="12" t="s">
        <v>164</v>
      </c>
      <c r="R169" s="12"/>
      <c r="S169" s="10" t="s">
        <v>108</v>
      </c>
      <c r="T169" s="12" t="s">
        <v>68</v>
      </c>
      <c r="U169" s="12"/>
    </row>
    <row r="170" customFormat="false" ht="29.85" hidden="false" customHeight="false" outlineLevel="0" collapsed="false">
      <c r="A170" s="10" t="n">
        <v>169</v>
      </c>
      <c r="B170" s="11" t="s">
        <v>654</v>
      </c>
      <c r="C170" s="11" t="s">
        <v>655</v>
      </c>
      <c r="D170" s="12" t="s">
        <v>656</v>
      </c>
      <c r="E170" s="12" t="s">
        <v>679</v>
      </c>
      <c r="F170" s="12"/>
      <c r="G170" s="12" t="s">
        <v>122</v>
      </c>
      <c r="H170" s="11" t="s">
        <v>63</v>
      </c>
      <c r="I170" s="11" t="s">
        <v>105</v>
      </c>
      <c r="J170" s="13"/>
      <c r="K170" s="13"/>
      <c r="L170" s="13"/>
      <c r="M170" s="10"/>
      <c r="N170" s="12"/>
      <c r="O170" s="14" t="str">
        <f aca="false">IF(K170="","",ROUND((説明!$B$4-DATE(K170,IF(L170="",7,L170),1))/365.25,1))</f>
        <v/>
      </c>
      <c r="P170" s="14" t="str">
        <f aca="false">IF(J170="","",IF(AND(J170=K170,L170&lt;&gt;""),O170,ROUND((説明!$B$4-DATE(J170,7,1))/365.25,1)))</f>
        <v/>
      </c>
      <c r="Q170" s="12" t="s">
        <v>164</v>
      </c>
      <c r="R170" s="12"/>
      <c r="S170" s="10" t="s">
        <v>108</v>
      </c>
      <c r="T170" s="12" t="s">
        <v>68</v>
      </c>
      <c r="U170" s="12"/>
    </row>
    <row r="171" customFormat="false" ht="29.85" hidden="false" customHeight="false" outlineLevel="0" collapsed="false">
      <c r="A171" s="10" t="n">
        <v>170</v>
      </c>
      <c r="B171" s="11" t="s">
        <v>654</v>
      </c>
      <c r="C171" s="11" t="s">
        <v>655</v>
      </c>
      <c r="D171" s="12" t="s">
        <v>656</v>
      </c>
      <c r="E171" s="12" t="s">
        <v>680</v>
      </c>
      <c r="F171" s="12"/>
      <c r="G171" s="11" t="s">
        <v>104</v>
      </c>
      <c r="H171" s="11" t="s">
        <v>63</v>
      </c>
      <c r="I171" s="11" t="s">
        <v>105</v>
      </c>
      <c r="J171" s="13"/>
      <c r="K171" s="13"/>
      <c r="L171" s="13"/>
      <c r="M171" s="10"/>
      <c r="N171" s="12"/>
      <c r="O171" s="14" t="str">
        <f aca="false">IF(K171="","",ROUND((説明!$B$4-DATE(K171,IF(L171="",7,L171),1))/365.25,1))</f>
        <v/>
      </c>
      <c r="P171" s="14" t="str">
        <f aca="false">IF(J171="","",IF(AND(J171=K171,L171&lt;&gt;""),O171,ROUND((説明!$B$4-DATE(J171,7,1))/365.25,1)))</f>
        <v/>
      </c>
      <c r="Q171" s="12" t="s">
        <v>164</v>
      </c>
      <c r="R171" s="12"/>
      <c r="S171" s="10" t="s">
        <v>108</v>
      </c>
      <c r="T171" s="12" t="s">
        <v>68</v>
      </c>
      <c r="U171" s="12"/>
    </row>
    <row r="172" customFormat="false" ht="29.85" hidden="false" customHeight="false" outlineLevel="0" collapsed="false">
      <c r="A172" s="10" t="n">
        <v>171</v>
      </c>
      <c r="B172" s="11" t="s">
        <v>654</v>
      </c>
      <c r="C172" s="11" t="s">
        <v>655</v>
      </c>
      <c r="D172" s="12" t="s">
        <v>656</v>
      </c>
      <c r="E172" s="12" t="s">
        <v>681</v>
      </c>
      <c r="F172" s="12"/>
      <c r="G172" s="11" t="s">
        <v>80</v>
      </c>
      <c r="H172" s="12" t="s">
        <v>151</v>
      </c>
      <c r="I172" s="11" t="s">
        <v>105</v>
      </c>
      <c r="J172" s="13" t="n">
        <v>2022</v>
      </c>
      <c r="K172" s="13" t="n">
        <v>2022</v>
      </c>
      <c r="L172" s="13"/>
      <c r="M172" s="16" t="s">
        <v>74</v>
      </c>
      <c r="N172" s="12"/>
      <c r="O172" s="14" t="n">
        <f aca="false">IF(K172="","",ROUND((説明!$B$4-DATE(K172,IF(L172="",7,L172),1))/365.25,1))</f>
        <v>4.3</v>
      </c>
      <c r="P172" s="14" t="n">
        <f aca="false">IF(J172="","",IF(AND(J172=K172,L172&lt;&gt;""),O172,ROUND((説明!$B$4-DATE(J172,7,1))/365.25,1)))</f>
        <v>4.3</v>
      </c>
      <c r="Q172" s="12" t="s">
        <v>164</v>
      </c>
      <c r="R172" s="12"/>
      <c r="S172" s="10" t="s">
        <v>108</v>
      </c>
      <c r="T172" s="12" t="s">
        <v>68</v>
      </c>
      <c r="U172" s="12"/>
    </row>
    <row r="173" customFormat="false" ht="29.85" hidden="false" customHeight="false" outlineLevel="0" collapsed="false">
      <c r="A173" s="10" t="n">
        <v>172</v>
      </c>
      <c r="B173" s="11" t="s">
        <v>654</v>
      </c>
      <c r="C173" s="12" t="s">
        <v>682</v>
      </c>
      <c r="D173" s="12" t="s">
        <v>682</v>
      </c>
      <c r="E173" s="12" t="s">
        <v>683</v>
      </c>
      <c r="F173" s="12"/>
      <c r="G173" s="11" t="s">
        <v>80</v>
      </c>
      <c r="H173" s="12" t="s">
        <v>658</v>
      </c>
      <c r="I173" s="11" t="s">
        <v>659</v>
      </c>
      <c r="J173" s="13"/>
      <c r="K173" s="13" t="n">
        <v>2019</v>
      </c>
      <c r="L173" s="13"/>
      <c r="M173" s="10"/>
      <c r="N173" s="12"/>
      <c r="O173" s="14" t="n">
        <f aca="false">IF(K173="","",ROUND((説明!$B$4-DATE(K173,IF(L173="",7,L173),1))/365.25,1))</f>
        <v>7.3</v>
      </c>
      <c r="P173" s="14" t="str">
        <f aca="false">IF(J173="","",IF(AND(J173=K173,L173&lt;&gt;""),O173,ROUND((説明!$B$4-DATE(J173,7,1))/365.25,1)))</f>
        <v/>
      </c>
      <c r="Q173" s="12" t="s">
        <v>106</v>
      </c>
      <c r="R173" s="12"/>
      <c r="S173" s="10" t="s">
        <v>108</v>
      </c>
      <c r="T173" s="12" t="s">
        <v>68</v>
      </c>
      <c r="U173" s="12" t="s">
        <v>684</v>
      </c>
    </row>
    <row r="174" customFormat="false" ht="29.85" hidden="false" customHeight="false" outlineLevel="0" collapsed="false">
      <c r="A174" s="10" t="n">
        <v>173</v>
      </c>
      <c r="B174" s="11" t="s">
        <v>654</v>
      </c>
      <c r="C174" s="12" t="s">
        <v>682</v>
      </c>
      <c r="D174" s="12" t="s">
        <v>682</v>
      </c>
      <c r="E174" s="12" t="s">
        <v>685</v>
      </c>
      <c r="F174" s="12"/>
      <c r="G174" s="12" t="s">
        <v>88</v>
      </c>
      <c r="H174" s="11" t="s">
        <v>117</v>
      </c>
      <c r="I174" s="11" t="s">
        <v>659</v>
      </c>
      <c r="J174" s="13"/>
      <c r="K174" s="13" t="n">
        <v>2023</v>
      </c>
      <c r="L174" s="13"/>
      <c r="M174" s="10"/>
      <c r="N174" s="12"/>
      <c r="O174" s="14" t="n">
        <f aca="false">IF(K174="","",ROUND((説明!$B$4-DATE(K174,IF(L174="",7,L174),1))/365.25,1))</f>
        <v>3.3</v>
      </c>
      <c r="P174" s="14" t="str">
        <f aca="false">IF(J174="","",IF(AND(J174=K174,L174&lt;&gt;""),O174,ROUND((説明!$B$4-DATE(J174,7,1))/365.25,1)))</f>
        <v/>
      </c>
      <c r="Q174" s="12" t="s">
        <v>106</v>
      </c>
      <c r="R174" s="12"/>
      <c r="S174" s="10" t="s">
        <v>108</v>
      </c>
      <c r="T174" s="12" t="s">
        <v>68</v>
      </c>
      <c r="U174" s="12" t="s">
        <v>686</v>
      </c>
    </row>
    <row r="175" customFormat="false" ht="29.85" hidden="false" customHeight="false" outlineLevel="0" collapsed="false">
      <c r="A175" s="10" t="n">
        <v>174</v>
      </c>
      <c r="B175" s="11" t="s">
        <v>654</v>
      </c>
      <c r="C175" s="12" t="s">
        <v>682</v>
      </c>
      <c r="D175" s="12" t="s">
        <v>682</v>
      </c>
      <c r="E175" s="12" t="s">
        <v>687</v>
      </c>
      <c r="F175" s="12"/>
      <c r="G175" s="11" t="s">
        <v>80</v>
      </c>
      <c r="H175" s="12" t="s">
        <v>318</v>
      </c>
      <c r="I175" s="11" t="s">
        <v>659</v>
      </c>
      <c r="J175" s="13"/>
      <c r="K175" s="13" t="n">
        <v>2024</v>
      </c>
      <c r="L175" s="13"/>
      <c r="M175" s="10"/>
      <c r="N175" s="12"/>
      <c r="O175" s="14" t="n">
        <f aca="false">IF(K175="","",ROUND((説明!$B$4-DATE(K175,IF(L175="",7,L175),1))/365.25,1))</f>
        <v>2.3</v>
      </c>
      <c r="P175" s="14" t="str">
        <f aca="false">IF(J175="","",IF(AND(J175=K175,L175&lt;&gt;""),O175,ROUND((説明!$B$4-DATE(J175,7,1))/365.25,1)))</f>
        <v/>
      </c>
      <c r="Q175" s="12" t="s">
        <v>153</v>
      </c>
      <c r="R175" s="12"/>
      <c r="S175" s="10" t="s">
        <v>108</v>
      </c>
      <c r="T175" s="12" t="s">
        <v>68</v>
      </c>
      <c r="U175" s="12" t="s">
        <v>688</v>
      </c>
    </row>
    <row r="176" customFormat="false" ht="29.85" hidden="false" customHeight="false" outlineLevel="0" collapsed="false">
      <c r="A176" s="10" t="n">
        <v>175</v>
      </c>
      <c r="B176" s="11" t="s">
        <v>654</v>
      </c>
      <c r="C176" s="12" t="s">
        <v>682</v>
      </c>
      <c r="D176" s="12" t="s">
        <v>682</v>
      </c>
      <c r="E176" s="12" t="s">
        <v>689</v>
      </c>
      <c r="F176" s="12"/>
      <c r="G176" s="12" t="s">
        <v>88</v>
      </c>
      <c r="H176" s="12" t="s">
        <v>318</v>
      </c>
      <c r="I176" s="11" t="s">
        <v>659</v>
      </c>
      <c r="J176" s="13"/>
      <c r="K176" s="13" t="n">
        <v>2025</v>
      </c>
      <c r="L176" s="13"/>
      <c r="M176" s="10"/>
      <c r="N176" s="12"/>
      <c r="O176" s="14" t="n">
        <f aca="false">IF(K176="","",ROUND((説明!$B$4-DATE(K176,IF(L176="",7,L176),1))/365.25,1))</f>
        <v>1.3</v>
      </c>
      <c r="P176" s="14" t="str">
        <f aca="false">IF(J176="","",IF(AND(J176=K176,L176&lt;&gt;""),O176,ROUND((説明!$B$4-DATE(J176,7,1))/365.25,1)))</f>
        <v/>
      </c>
      <c r="Q176" s="12" t="s">
        <v>153</v>
      </c>
      <c r="R176" s="12"/>
      <c r="S176" s="10" t="s">
        <v>108</v>
      </c>
      <c r="T176" s="12" t="s">
        <v>68</v>
      </c>
      <c r="U176" s="12" t="s">
        <v>690</v>
      </c>
    </row>
    <row r="177" customFormat="false" ht="15" hidden="false" customHeight="false" outlineLevel="0" collapsed="false">
      <c r="A177" s="10" t="n">
        <v>176</v>
      </c>
      <c r="B177" s="11" t="s">
        <v>654</v>
      </c>
      <c r="C177" s="12" t="s">
        <v>682</v>
      </c>
      <c r="D177" s="12" t="s">
        <v>682</v>
      </c>
      <c r="E177" s="12" t="s">
        <v>691</v>
      </c>
      <c r="F177" s="12"/>
      <c r="G177" s="12" t="s">
        <v>88</v>
      </c>
      <c r="H177" s="12" t="s">
        <v>151</v>
      </c>
      <c r="I177" s="11" t="s">
        <v>105</v>
      </c>
      <c r="J177" s="13" t="n">
        <v>2023</v>
      </c>
      <c r="K177" s="13" t="n">
        <v>2023</v>
      </c>
      <c r="L177" s="13"/>
      <c r="M177" s="16" t="s">
        <v>74</v>
      </c>
      <c r="N177" s="12"/>
      <c r="O177" s="14" t="n">
        <f aca="false">IF(K177="","",ROUND((説明!$B$4-DATE(K177,IF(L177="",7,L177),1))/365.25,1))</f>
        <v>3.3</v>
      </c>
      <c r="P177" s="14" t="n">
        <f aca="false">IF(J177="","",IF(AND(J177=K177,L177&lt;&gt;""),O177,ROUND((説明!$B$4-DATE(J177,7,1))/365.25,1)))</f>
        <v>3.3</v>
      </c>
      <c r="Q177" s="12" t="s">
        <v>153</v>
      </c>
      <c r="R177" s="12"/>
      <c r="S177" s="10" t="s">
        <v>108</v>
      </c>
      <c r="T177" s="12" t="s">
        <v>68</v>
      </c>
      <c r="U177" s="12"/>
    </row>
    <row r="178" customFormat="false" ht="15" hidden="false" customHeight="false" outlineLevel="0" collapsed="false">
      <c r="A178" s="10" t="n">
        <v>177</v>
      </c>
      <c r="B178" s="11" t="s">
        <v>654</v>
      </c>
      <c r="C178" s="12" t="s">
        <v>682</v>
      </c>
      <c r="D178" s="12" t="s">
        <v>682</v>
      </c>
      <c r="E178" s="12" t="s">
        <v>692</v>
      </c>
      <c r="F178" s="12"/>
      <c r="G178" s="11" t="s">
        <v>80</v>
      </c>
      <c r="H178" s="11" t="s">
        <v>117</v>
      </c>
      <c r="I178" s="11" t="s">
        <v>105</v>
      </c>
      <c r="J178" s="13"/>
      <c r="K178" s="13" t="n">
        <v>2025</v>
      </c>
      <c r="L178" s="13"/>
      <c r="M178" s="10"/>
      <c r="N178" s="12"/>
      <c r="O178" s="14" t="n">
        <f aca="false">IF(K178="","",ROUND((説明!$B$4-DATE(K178,IF(L178="",7,L178),1))/365.25,1))</f>
        <v>1.3</v>
      </c>
      <c r="P178" s="14" t="str">
        <f aca="false">IF(J178="","",IF(AND(J178=K178,L178&lt;&gt;""),O178,ROUND((説明!$B$4-DATE(J178,7,1))/365.25,1)))</f>
        <v/>
      </c>
      <c r="Q178" s="12" t="s">
        <v>153</v>
      </c>
      <c r="R178" s="12"/>
      <c r="S178" s="10" t="s">
        <v>108</v>
      </c>
      <c r="T178" s="12" t="s">
        <v>68</v>
      </c>
      <c r="U178" s="11" t="s">
        <v>119</v>
      </c>
    </row>
    <row r="179" customFormat="false" ht="29.85" hidden="false" customHeight="false" outlineLevel="0" collapsed="false">
      <c r="A179" s="10" t="n">
        <v>178</v>
      </c>
      <c r="B179" s="11" t="s">
        <v>654</v>
      </c>
      <c r="C179" s="12" t="s">
        <v>682</v>
      </c>
      <c r="D179" s="12" t="s">
        <v>682</v>
      </c>
      <c r="E179" s="12" t="s">
        <v>693</v>
      </c>
      <c r="F179" s="12"/>
      <c r="G179" s="12" t="s">
        <v>88</v>
      </c>
      <c r="H179" s="12" t="s">
        <v>318</v>
      </c>
      <c r="I179" s="11" t="s">
        <v>659</v>
      </c>
      <c r="J179" s="13"/>
      <c r="K179" s="13" t="n">
        <v>2019</v>
      </c>
      <c r="L179" s="13"/>
      <c r="M179" s="10"/>
      <c r="N179" s="12"/>
      <c r="O179" s="14" t="n">
        <f aca="false">IF(K179="","",ROUND((説明!$B$4-DATE(K179,IF(L179="",7,L179),1))/365.25,1))</f>
        <v>7.3</v>
      </c>
      <c r="P179" s="14" t="str">
        <f aca="false">IF(J179="","",IF(AND(J179=K179,L179&lt;&gt;""),O179,ROUND((説明!$B$4-DATE(J179,7,1))/365.25,1)))</f>
        <v/>
      </c>
      <c r="Q179" s="12" t="s">
        <v>153</v>
      </c>
      <c r="R179" s="12"/>
      <c r="S179" s="10" t="s">
        <v>108</v>
      </c>
      <c r="T179" s="12" t="s">
        <v>68</v>
      </c>
      <c r="U179" s="12" t="s">
        <v>694</v>
      </c>
    </row>
    <row r="180" customFormat="false" ht="15" hidden="false" customHeight="false" outlineLevel="0" collapsed="false">
      <c r="A180" s="10" t="n">
        <v>179</v>
      </c>
      <c r="B180" s="11" t="s">
        <v>654</v>
      </c>
      <c r="C180" s="12" t="s">
        <v>682</v>
      </c>
      <c r="D180" s="12" t="s">
        <v>682</v>
      </c>
      <c r="E180" s="12" t="s">
        <v>695</v>
      </c>
      <c r="F180" s="12"/>
      <c r="G180" s="11" t="s">
        <v>80</v>
      </c>
      <c r="H180" s="12" t="s">
        <v>151</v>
      </c>
      <c r="I180" s="11" t="s">
        <v>105</v>
      </c>
      <c r="J180" s="13" t="n">
        <v>2024</v>
      </c>
      <c r="K180" s="13" t="n">
        <v>2024</v>
      </c>
      <c r="L180" s="13"/>
      <c r="M180" s="16" t="s">
        <v>74</v>
      </c>
      <c r="N180" s="12"/>
      <c r="O180" s="14" t="n">
        <f aca="false">IF(K180="","",ROUND((説明!$B$4-DATE(K180,IF(L180="",7,L180),1))/365.25,1))</f>
        <v>2.3</v>
      </c>
      <c r="P180" s="14" t="n">
        <f aca="false">IF(J180="","",IF(AND(J180=K180,L180&lt;&gt;""),O180,ROUND((説明!$B$4-DATE(J180,7,1))/365.25,1)))</f>
        <v>2.3</v>
      </c>
      <c r="Q180" s="12" t="s">
        <v>153</v>
      </c>
      <c r="R180" s="12"/>
      <c r="S180" s="10" t="s">
        <v>108</v>
      </c>
      <c r="T180" s="12" t="s">
        <v>68</v>
      </c>
      <c r="U180" s="12"/>
    </row>
    <row r="181" customFormat="false" ht="15" hidden="false" customHeight="false" outlineLevel="0" collapsed="false">
      <c r="A181" s="10" t="n">
        <v>180</v>
      </c>
      <c r="B181" s="11" t="s">
        <v>654</v>
      </c>
      <c r="C181" s="12" t="s">
        <v>682</v>
      </c>
      <c r="D181" s="12" t="s">
        <v>682</v>
      </c>
      <c r="E181" s="12" t="s">
        <v>696</v>
      </c>
      <c r="F181" s="12"/>
      <c r="G181" s="12" t="s">
        <v>88</v>
      </c>
      <c r="H181" s="11" t="s">
        <v>117</v>
      </c>
      <c r="I181" s="11" t="s">
        <v>105</v>
      </c>
      <c r="J181" s="13"/>
      <c r="K181" s="13" t="n">
        <v>2018</v>
      </c>
      <c r="L181" s="13"/>
      <c r="M181" s="10"/>
      <c r="N181" s="12"/>
      <c r="O181" s="14" t="n">
        <f aca="false">IF(K181="","",ROUND((説明!$B$4-DATE(K181,IF(L181="",7,L181),1))/365.25,1))</f>
        <v>8.3</v>
      </c>
      <c r="P181" s="14" t="str">
        <f aca="false">IF(J181="","",IF(AND(J181=K181,L181&lt;&gt;""),O181,ROUND((説明!$B$4-DATE(J181,7,1))/365.25,1)))</f>
        <v/>
      </c>
      <c r="Q181" s="12" t="s">
        <v>153</v>
      </c>
      <c r="R181" s="12"/>
      <c r="S181" s="10" t="s">
        <v>108</v>
      </c>
      <c r="T181" s="12" t="s">
        <v>68</v>
      </c>
      <c r="U181" s="12"/>
    </row>
    <row r="182" customFormat="false" ht="15" hidden="false" customHeight="false" outlineLevel="0" collapsed="false">
      <c r="A182" s="10" t="n">
        <v>181</v>
      </c>
      <c r="B182" s="11" t="s">
        <v>654</v>
      </c>
      <c r="C182" s="12" t="s">
        <v>682</v>
      </c>
      <c r="D182" s="12" t="s">
        <v>682</v>
      </c>
      <c r="E182" s="12" t="s">
        <v>697</v>
      </c>
      <c r="F182" s="12"/>
      <c r="G182" s="11" t="s">
        <v>163</v>
      </c>
      <c r="H182" s="11" t="s">
        <v>117</v>
      </c>
      <c r="I182" s="11" t="s">
        <v>105</v>
      </c>
      <c r="J182" s="13"/>
      <c r="K182" s="13" t="n">
        <v>2021</v>
      </c>
      <c r="L182" s="13"/>
      <c r="M182" s="10"/>
      <c r="N182" s="12"/>
      <c r="O182" s="14" t="n">
        <f aca="false">IF(K182="","",ROUND((説明!$B$4-DATE(K182,IF(L182="",7,L182),1))/365.25,1))</f>
        <v>5.3</v>
      </c>
      <c r="P182" s="14" t="str">
        <f aca="false">IF(J182="","",IF(AND(J182=K182,L182&lt;&gt;""),O182,ROUND((説明!$B$4-DATE(J182,7,1))/365.25,1)))</f>
        <v/>
      </c>
      <c r="Q182" s="12" t="s">
        <v>153</v>
      </c>
      <c r="R182" s="12"/>
      <c r="S182" s="10" t="s">
        <v>108</v>
      </c>
      <c r="T182" s="12" t="s">
        <v>68</v>
      </c>
      <c r="U182" s="12"/>
    </row>
    <row r="183" customFormat="false" ht="15" hidden="false" customHeight="false" outlineLevel="0" collapsed="false">
      <c r="A183" s="10" t="n">
        <v>182</v>
      </c>
      <c r="B183" s="11" t="s">
        <v>654</v>
      </c>
      <c r="C183" s="12" t="s">
        <v>682</v>
      </c>
      <c r="D183" s="12" t="s">
        <v>682</v>
      </c>
      <c r="E183" s="12" t="s">
        <v>698</v>
      </c>
      <c r="F183" s="12"/>
      <c r="G183" s="12" t="s">
        <v>88</v>
      </c>
      <c r="H183" s="12" t="s">
        <v>151</v>
      </c>
      <c r="I183" s="11" t="s">
        <v>105</v>
      </c>
      <c r="J183" s="13" t="n">
        <v>2022</v>
      </c>
      <c r="K183" s="13" t="n">
        <v>2022</v>
      </c>
      <c r="L183" s="13"/>
      <c r="M183" s="16" t="s">
        <v>74</v>
      </c>
      <c r="N183" s="12"/>
      <c r="O183" s="14" t="n">
        <f aca="false">IF(K183="","",ROUND((説明!$B$4-DATE(K183,IF(L183="",7,L183),1))/365.25,1))</f>
        <v>4.3</v>
      </c>
      <c r="P183" s="14" t="n">
        <f aca="false">IF(J183="","",IF(AND(J183=K183,L183&lt;&gt;""),O183,ROUND((説明!$B$4-DATE(J183,7,1))/365.25,1)))</f>
        <v>4.3</v>
      </c>
      <c r="Q183" s="12" t="s">
        <v>153</v>
      </c>
      <c r="R183" s="12"/>
      <c r="S183" s="10" t="s">
        <v>108</v>
      </c>
      <c r="T183" s="12" t="s">
        <v>68</v>
      </c>
      <c r="U183" s="11" t="s">
        <v>699</v>
      </c>
    </row>
    <row r="184" customFormat="false" ht="15" hidden="false" customHeight="false" outlineLevel="0" collapsed="false">
      <c r="A184" s="10" t="n">
        <v>183</v>
      </c>
      <c r="B184" s="11" t="s">
        <v>654</v>
      </c>
      <c r="C184" s="12" t="s">
        <v>682</v>
      </c>
      <c r="D184" s="12" t="s">
        <v>682</v>
      </c>
      <c r="E184" s="12" t="s">
        <v>700</v>
      </c>
      <c r="F184" s="12"/>
      <c r="G184" s="11" t="s">
        <v>80</v>
      </c>
      <c r="H184" s="12" t="s">
        <v>151</v>
      </c>
      <c r="I184" s="11" t="s">
        <v>105</v>
      </c>
      <c r="J184" s="13" t="n">
        <v>2023</v>
      </c>
      <c r="K184" s="13" t="n">
        <v>2023</v>
      </c>
      <c r="L184" s="13"/>
      <c r="M184" s="16" t="s">
        <v>74</v>
      </c>
      <c r="N184" s="12"/>
      <c r="O184" s="14" t="n">
        <f aca="false">IF(K184="","",ROUND((説明!$B$4-DATE(K184,IF(L184="",7,L184),1))/365.25,1))</f>
        <v>3.3</v>
      </c>
      <c r="P184" s="14" t="n">
        <f aca="false">IF(J184="","",IF(AND(J184=K184,L184&lt;&gt;""),O184,ROUND((説明!$B$4-DATE(J184,7,1))/365.25,1)))</f>
        <v>3.3</v>
      </c>
      <c r="Q184" s="12" t="s">
        <v>164</v>
      </c>
      <c r="R184" s="12"/>
      <c r="S184" s="10" t="s">
        <v>108</v>
      </c>
      <c r="T184" s="12" t="s">
        <v>68</v>
      </c>
      <c r="U184" s="12"/>
    </row>
    <row r="185" customFormat="false" ht="15" hidden="false" customHeight="false" outlineLevel="0" collapsed="false">
      <c r="A185" s="10" t="n">
        <v>184</v>
      </c>
      <c r="B185" s="11" t="s">
        <v>654</v>
      </c>
      <c r="C185" s="12" t="s">
        <v>682</v>
      </c>
      <c r="D185" s="12" t="s">
        <v>682</v>
      </c>
      <c r="E185" s="12" t="s">
        <v>701</v>
      </c>
      <c r="F185" s="12"/>
      <c r="G185" s="12" t="s">
        <v>88</v>
      </c>
      <c r="H185" s="11" t="s">
        <v>117</v>
      </c>
      <c r="I185" s="11" t="s">
        <v>105</v>
      </c>
      <c r="J185" s="13"/>
      <c r="K185" s="13" t="n">
        <v>2020</v>
      </c>
      <c r="L185" s="13"/>
      <c r="M185" s="10"/>
      <c r="N185" s="12"/>
      <c r="O185" s="14" t="n">
        <f aca="false">IF(K185="","",ROUND((説明!$B$4-DATE(K185,IF(L185="",7,L185),1))/365.25,1))</f>
        <v>6.3</v>
      </c>
      <c r="P185" s="14" t="str">
        <f aca="false">IF(J185="","",IF(AND(J185=K185,L185&lt;&gt;""),O185,ROUND((説明!$B$4-DATE(J185,7,1))/365.25,1)))</f>
        <v/>
      </c>
      <c r="Q185" s="12" t="s">
        <v>164</v>
      </c>
      <c r="R185" s="12"/>
      <c r="S185" s="10" t="s">
        <v>108</v>
      </c>
      <c r="T185" s="12" t="s">
        <v>68</v>
      </c>
      <c r="U185" s="12"/>
    </row>
    <row r="186" customFormat="false" ht="15" hidden="false" customHeight="false" outlineLevel="0" collapsed="false">
      <c r="A186" s="10" t="n">
        <v>185</v>
      </c>
      <c r="B186" s="11" t="s">
        <v>654</v>
      </c>
      <c r="C186" s="12" t="s">
        <v>682</v>
      </c>
      <c r="D186" s="12" t="s">
        <v>682</v>
      </c>
      <c r="E186" s="12" t="s">
        <v>702</v>
      </c>
      <c r="F186" s="12"/>
      <c r="G186" s="12" t="s">
        <v>88</v>
      </c>
      <c r="H186" s="11" t="s">
        <v>117</v>
      </c>
      <c r="I186" s="11" t="s">
        <v>105</v>
      </c>
      <c r="J186" s="13"/>
      <c r="K186" s="13" t="n">
        <v>2019</v>
      </c>
      <c r="L186" s="13"/>
      <c r="M186" s="10"/>
      <c r="N186" s="12"/>
      <c r="O186" s="14" t="n">
        <f aca="false">IF(K186="","",ROUND((説明!$B$4-DATE(K186,IF(L186="",7,L186),1))/365.25,1))</f>
        <v>7.3</v>
      </c>
      <c r="P186" s="14" t="str">
        <f aca="false">IF(J186="","",IF(AND(J186=K186,L186&lt;&gt;""),O186,ROUND((説明!$B$4-DATE(J186,7,1))/365.25,1)))</f>
        <v/>
      </c>
      <c r="Q186" s="12" t="s">
        <v>164</v>
      </c>
      <c r="R186" s="12"/>
      <c r="S186" s="10" t="s">
        <v>108</v>
      </c>
      <c r="T186" s="12" t="s">
        <v>68</v>
      </c>
      <c r="U186" s="12"/>
    </row>
    <row r="187" customFormat="false" ht="15" hidden="false" customHeight="false" outlineLevel="0" collapsed="false">
      <c r="A187" s="10" t="n">
        <v>186</v>
      </c>
      <c r="B187" s="11" t="s">
        <v>654</v>
      </c>
      <c r="C187" s="12" t="s">
        <v>682</v>
      </c>
      <c r="D187" s="12" t="s">
        <v>682</v>
      </c>
      <c r="E187" s="12" t="s">
        <v>703</v>
      </c>
      <c r="F187" s="12"/>
      <c r="G187" s="11" t="s">
        <v>80</v>
      </c>
      <c r="H187" s="12" t="s">
        <v>318</v>
      </c>
      <c r="I187" s="11" t="s">
        <v>105</v>
      </c>
      <c r="J187" s="13"/>
      <c r="K187" s="13" t="n">
        <v>2023</v>
      </c>
      <c r="L187" s="13"/>
      <c r="M187" s="10"/>
      <c r="N187" s="12"/>
      <c r="O187" s="14" t="n">
        <f aca="false">IF(K187="","",ROUND((説明!$B$4-DATE(K187,IF(L187="",7,L187),1))/365.25,1))</f>
        <v>3.3</v>
      </c>
      <c r="P187" s="14" t="str">
        <f aca="false">IF(J187="","",IF(AND(J187=K187,L187&lt;&gt;""),O187,ROUND((説明!$B$4-DATE(J187,7,1))/365.25,1)))</f>
        <v/>
      </c>
      <c r="Q187" s="12" t="s">
        <v>164</v>
      </c>
      <c r="R187" s="12"/>
      <c r="S187" s="10" t="s">
        <v>108</v>
      </c>
      <c r="T187" s="12" t="s">
        <v>68</v>
      </c>
      <c r="U187" s="12" t="s">
        <v>704</v>
      </c>
    </row>
    <row r="188" customFormat="false" ht="15" hidden="false" customHeight="false" outlineLevel="0" collapsed="false">
      <c r="A188" s="10" t="n">
        <v>187</v>
      </c>
      <c r="B188" s="11" t="s">
        <v>654</v>
      </c>
      <c r="C188" s="12" t="s">
        <v>682</v>
      </c>
      <c r="D188" s="12" t="s">
        <v>682</v>
      </c>
      <c r="E188" s="12" t="s">
        <v>705</v>
      </c>
      <c r="F188" s="12"/>
      <c r="G188" s="12" t="s">
        <v>88</v>
      </c>
      <c r="H188" s="12" t="s">
        <v>151</v>
      </c>
      <c r="I188" s="11" t="s">
        <v>105</v>
      </c>
      <c r="J188" s="13" t="n">
        <v>2022</v>
      </c>
      <c r="K188" s="13" t="n">
        <v>2022</v>
      </c>
      <c r="L188" s="13"/>
      <c r="M188" s="16" t="s">
        <v>74</v>
      </c>
      <c r="N188" s="12"/>
      <c r="O188" s="14" t="n">
        <f aca="false">IF(K188="","",ROUND((説明!$B$4-DATE(K188,IF(L188="",7,L188),1))/365.25,1))</f>
        <v>4.3</v>
      </c>
      <c r="P188" s="14" t="n">
        <f aca="false">IF(J188="","",IF(AND(J188=K188,L188&lt;&gt;""),O188,ROUND((説明!$B$4-DATE(J188,7,1))/365.25,1)))</f>
        <v>4.3</v>
      </c>
      <c r="Q188" s="12" t="s">
        <v>164</v>
      </c>
      <c r="R188" s="12"/>
      <c r="S188" s="10" t="s">
        <v>108</v>
      </c>
      <c r="T188" s="12" t="s">
        <v>68</v>
      </c>
      <c r="U188" s="12"/>
    </row>
    <row r="189" customFormat="false" ht="15" hidden="false" customHeight="false" outlineLevel="0" collapsed="false">
      <c r="A189" s="10" t="n">
        <v>188</v>
      </c>
      <c r="B189" s="11" t="s">
        <v>654</v>
      </c>
      <c r="C189" s="12" t="s">
        <v>682</v>
      </c>
      <c r="D189" s="12" t="s">
        <v>706</v>
      </c>
      <c r="E189" s="12" t="s">
        <v>707</v>
      </c>
      <c r="F189" s="12"/>
      <c r="G189" s="11" t="s">
        <v>116</v>
      </c>
      <c r="H189" s="12" t="s">
        <v>151</v>
      </c>
      <c r="I189" s="11" t="s">
        <v>105</v>
      </c>
      <c r="J189" s="13"/>
      <c r="K189" s="13" t="n">
        <v>2024</v>
      </c>
      <c r="L189" s="13"/>
      <c r="M189" s="10"/>
      <c r="N189" s="12"/>
      <c r="O189" s="14" t="n">
        <f aca="false">IF(K189="","",ROUND((説明!$B$4-DATE(K189,IF(L189="",7,L189),1))/365.25,1))</f>
        <v>2.3</v>
      </c>
      <c r="P189" s="14" t="str">
        <f aca="false">IF(J189="","",IF(AND(J189=K189,L189&lt;&gt;""),O189,ROUND((説明!$B$4-DATE(J189,7,1))/365.25,1)))</f>
        <v/>
      </c>
      <c r="Q189" s="12" t="s">
        <v>153</v>
      </c>
      <c r="R189" s="12"/>
      <c r="S189" s="10" t="s">
        <v>108</v>
      </c>
      <c r="T189" s="12" t="s">
        <v>68</v>
      </c>
      <c r="U189" s="12" t="s">
        <v>708</v>
      </c>
    </row>
    <row r="190" customFormat="false" ht="15" hidden="false" customHeight="false" outlineLevel="0" collapsed="false">
      <c r="A190" s="10" t="n">
        <v>189</v>
      </c>
      <c r="B190" s="11" t="s">
        <v>654</v>
      </c>
      <c r="C190" s="12" t="s">
        <v>682</v>
      </c>
      <c r="D190" s="12" t="s">
        <v>706</v>
      </c>
      <c r="E190" s="12" t="s">
        <v>709</v>
      </c>
      <c r="F190" s="12"/>
      <c r="G190" s="12" t="s">
        <v>88</v>
      </c>
      <c r="H190" s="12" t="s">
        <v>151</v>
      </c>
      <c r="I190" s="11" t="s">
        <v>105</v>
      </c>
      <c r="J190" s="13" t="n">
        <v>2025</v>
      </c>
      <c r="K190" s="13" t="n">
        <v>2025</v>
      </c>
      <c r="L190" s="13"/>
      <c r="M190" s="16" t="s">
        <v>74</v>
      </c>
      <c r="N190" s="12"/>
      <c r="O190" s="14" t="n">
        <f aca="false">IF(K190="","",ROUND((説明!$B$4-DATE(K190,IF(L190="",7,L190),1))/365.25,1))</f>
        <v>1.3</v>
      </c>
      <c r="P190" s="14" t="n">
        <f aca="false">IF(J190="","",IF(AND(J190=K190,L190&lt;&gt;""),O190,ROUND((説明!$B$4-DATE(J190,7,1))/365.25,1)))</f>
        <v>1.3</v>
      </c>
      <c r="Q190" s="12" t="s">
        <v>153</v>
      </c>
      <c r="R190" s="12"/>
      <c r="S190" s="10" t="s">
        <v>108</v>
      </c>
      <c r="T190" s="12" t="s">
        <v>68</v>
      </c>
      <c r="U190" s="12"/>
    </row>
    <row r="191" customFormat="false" ht="15" hidden="false" customHeight="false" outlineLevel="0" collapsed="false">
      <c r="A191" s="10" t="n">
        <v>190</v>
      </c>
      <c r="B191" s="11" t="s">
        <v>654</v>
      </c>
      <c r="C191" s="12" t="s">
        <v>682</v>
      </c>
      <c r="D191" s="12" t="s">
        <v>706</v>
      </c>
      <c r="E191" s="12" t="s">
        <v>710</v>
      </c>
      <c r="F191" s="12"/>
      <c r="G191" s="12" t="s">
        <v>88</v>
      </c>
      <c r="H191" s="11" t="s">
        <v>711</v>
      </c>
      <c r="I191" s="11" t="s">
        <v>105</v>
      </c>
      <c r="J191" s="13"/>
      <c r="K191" s="13" t="n">
        <v>2024</v>
      </c>
      <c r="L191" s="13"/>
      <c r="M191" s="10"/>
      <c r="N191" s="12"/>
      <c r="O191" s="14" t="n">
        <f aca="false">IF(K191="","",ROUND((説明!$B$4-DATE(K191,IF(L191="",7,L191),1))/365.25,1))</f>
        <v>2.3</v>
      </c>
      <c r="P191" s="14" t="str">
        <f aca="false">IF(J191="","",IF(AND(J191=K191,L191&lt;&gt;""),O191,ROUND((説明!$B$4-DATE(J191,7,1))/365.25,1)))</f>
        <v/>
      </c>
      <c r="Q191" s="12" t="s">
        <v>153</v>
      </c>
      <c r="R191" s="12"/>
      <c r="S191" s="10" t="s">
        <v>108</v>
      </c>
      <c r="T191" s="12" t="s">
        <v>68</v>
      </c>
      <c r="U191" s="12" t="s">
        <v>712</v>
      </c>
    </row>
    <row r="192" customFormat="false" ht="29.85" hidden="false" customHeight="false" outlineLevel="0" collapsed="false">
      <c r="A192" s="10" t="n">
        <v>191</v>
      </c>
      <c r="B192" s="11" t="s">
        <v>654</v>
      </c>
      <c r="C192" s="11" t="s">
        <v>713</v>
      </c>
      <c r="D192" s="12" t="s">
        <v>714</v>
      </c>
      <c r="E192" s="12" t="s">
        <v>715</v>
      </c>
      <c r="F192" s="12"/>
      <c r="G192" s="12" t="s">
        <v>88</v>
      </c>
      <c r="H192" s="12" t="s">
        <v>151</v>
      </c>
      <c r="I192" s="11" t="s">
        <v>105</v>
      </c>
      <c r="J192" s="13"/>
      <c r="K192" s="13" t="n">
        <v>2022</v>
      </c>
      <c r="L192" s="13"/>
      <c r="M192" s="10"/>
      <c r="N192" s="12"/>
      <c r="O192" s="14" t="n">
        <f aca="false">IF(K192="","",ROUND((説明!$B$4-DATE(K192,IF(L192="",7,L192),1))/365.25,1))</f>
        <v>4.3</v>
      </c>
      <c r="P192" s="14" t="str">
        <f aca="false">IF(J192="","",IF(AND(J192=K192,L192&lt;&gt;""),O192,ROUND((説明!$B$4-DATE(J192,7,1))/365.25,1)))</f>
        <v/>
      </c>
      <c r="Q192" s="12" t="s">
        <v>153</v>
      </c>
      <c r="R192" s="12"/>
      <c r="S192" s="10" t="s">
        <v>108</v>
      </c>
      <c r="T192" s="12" t="s">
        <v>68</v>
      </c>
      <c r="U192" s="11" t="s">
        <v>716</v>
      </c>
    </row>
    <row r="193" customFormat="false" ht="29.85" hidden="false" customHeight="false" outlineLevel="0" collapsed="false">
      <c r="A193" s="10" t="n">
        <v>192</v>
      </c>
      <c r="B193" s="11" t="s">
        <v>654</v>
      </c>
      <c r="C193" s="11" t="s">
        <v>713</v>
      </c>
      <c r="D193" s="12" t="s">
        <v>714</v>
      </c>
      <c r="E193" s="12" t="s">
        <v>717</v>
      </c>
      <c r="F193" s="12"/>
      <c r="G193" s="12" t="s">
        <v>88</v>
      </c>
      <c r="H193" s="12" t="s">
        <v>151</v>
      </c>
      <c r="I193" s="11" t="s">
        <v>105</v>
      </c>
      <c r="J193" s="13" t="n">
        <v>2024</v>
      </c>
      <c r="K193" s="13" t="n">
        <v>2024</v>
      </c>
      <c r="L193" s="13"/>
      <c r="M193" s="16" t="s">
        <v>74</v>
      </c>
      <c r="N193" s="12"/>
      <c r="O193" s="14" t="n">
        <f aca="false">IF(K193="","",ROUND((説明!$B$4-DATE(K193,IF(L193="",7,L193),1))/365.25,1))</f>
        <v>2.3</v>
      </c>
      <c r="P193" s="14" t="n">
        <f aca="false">IF(J193="","",IF(AND(J193=K193,L193&lt;&gt;""),O193,ROUND((説明!$B$4-DATE(J193,7,1))/365.25,1)))</f>
        <v>2.3</v>
      </c>
      <c r="Q193" s="12" t="s">
        <v>153</v>
      </c>
      <c r="R193" s="12"/>
      <c r="S193" s="10" t="s">
        <v>108</v>
      </c>
      <c r="T193" s="12" t="s">
        <v>68</v>
      </c>
      <c r="U193" s="12"/>
    </row>
    <row r="194" customFormat="false" ht="29.85" hidden="false" customHeight="false" outlineLevel="0" collapsed="false">
      <c r="A194" s="10" t="n">
        <v>193</v>
      </c>
      <c r="B194" s="11" t="s">
        <v>654</v>
      </c>
      <c r="C194" s="11" t="s">
        <v>713</v>
      </c>
      <c r="D194" s="12" t="s">
        <v>714</v>
      </c>
      <c r="E194" s="12" t="s">
        <v>718</v>
      </c>
      <c r="F194" s="12"/>
      <c r="G194" s="12" t="s">
        <v>88</v>
      </c>
      <c r="H194" s="12" t="s">
        <v>151</v>
      </c>
      <c r="I194" s="11" t="s">
        <v>105</v>
      </c>
      <c r="J194" s="13"/>
      <c r="K194" s="13" t="n">
        <v>2023</v>
      </c>
      <c r="L194" s="13"/>
      <c r="M194" s="10"/>
      <c r="N194" s="12"/>
      <c r="O194" s="14" t="n">
        <f aca="false">IF(K194="","",ROUND((説明!$B$4-DATE(K194,IF(L194="",7,L194),1))/365.25,1))</f>
        <v>3.3</v>
      </c>
      <c r="P194" s="14" t="str">
        <f aca="false">IF(J194="","",IF(AND(J194=K194,L194&lt;&gt;""),O194,ROUND((説明!$B$4-DATE(J194,7,1))/365.25,1)))</f>
        <v/>
      </c>
      <c r="Q194" s="12" t="s">
        <v>153</v>
      </c>
      <c r="R194" s="12"/>
      <c r="S194" s="10" t="s">
        <v>108</v>
      </c>
      <c r="T194" s="12" t="s">
        <v>68</v>
      </c>
      <c r="U194" s="11" t="s">
        <v>719</v>
      </c>
    </row>
    <row r="195" customFormat="false" ht="29.85" hidden="false" customHeight="false" outlineLevel="0" collapsed="false">
      <c r="A195" s="10" t="n">
        <v>194</v>
      </c>
      <c r="B195" s="11" t="s">
        <v>654</v>
      </c>
      <c r="C195" s="11" t="s">
        <v>713</v>
      </c>
      <c r="D195" s="12" t="s">
        <v>714</v>
      </c>
      <c r="E195" s="12" t="s">
        <v>720</v>
      </c>
      <c r="F195" s="12"/>
      <c r="G195" s="12" t="s">
        <v>88</v>
      </c>
      <c r="H195" s="12" t="s">
        <v>318</v>
      </c>
      <c r="I195" s="11" t="s">
        <v>105</v>
      </c>
      <c r="J195" s="13"/>
      <c r="K195" s="13" t="n">
        <v>2017</v>
      </c>
      <c r="L195" s="13"/>
      <c r="M195" s="10"/>
      <c r="N195" s="12"/>
      <c r="O195" s="14" t="n">
        <f aca="false">IF(K195="","",ROUND((説明!$B$4-DATE(K195,IF(L195="",7,L195),1))/365.25,1))</f>
        <v>9.3</v>
      </c>
      <c r="P195" s="14" t="str">
        <f aca="false">IF(J195="","",IF(AND(J195=K195,L195&lt;&gt;""),O195,ROUND((説明!$B$4-DATE(J195,7,1))/365.25,1)))</f>
        <v/>
      </c>
      <c r="Q195" s="12" t="s">
        <v>153</v>
      </c>
      <c r="R195" s="12"/>
      <c r="S195" s="10" t="s">
        <v>108</v>
      </c>
      <c r="T195" s="12" t="s">
        <v>68</v>
      </c>
      <c r="U195" s="12"/>
    </row>
    <row r="196" customFormat="false" ht="29.85" hidden="false" customHeight="false" outlineLevel="0" collapsed="false">
      <c r="A196" s="10" t="n">
        <v>195</v>
      </c>
      <c r="B196" s="11" t="s">
        <v>654</v>
      </c>
      <c r="C196" s="11" t="s">
        <v>713</v>
      </c>
      <c r="D196" s="12" t="s">
        <v>714</v>
      </c>
      <c r="E196" s="12" t="s">
        <v>721</v>
      </c>
      <c r="F196" s="12"/>
      <c r="G196" s="11" t="s">
        <v>80</v>
      </c>
      <c r="H196" s="12" t="s">
        <v>151</v>
      </c>
      <c r="I196" s="11" t="s">
        <v>105</v>
      </c>
      <c r="J196" s="13" t="n">
        <v>2026</v>
      </c>
      <c r="K196" s="13" t="n">
        <v>2026</v>
      </c>
      <c r="L196" s="13"/>
      <c r="M196" s="16" t="s">
        <v>74</v>
      </c>
      <c r="N196" s="12"/>
      <c r="O196" s="14" t="n">
        <f aca="false">IF(K196="","",ROUND((説明!$B$4-DATE(K196,IF(L196="",7,L196),1))/365.25,1))</f>
        <v>0.3</v>
      </c>
      <c r="P196" s="14" t="n">
        <f aca="false">IF(J196="","",IF(AND(J196=K196,L196&lt;&gt;""),O196,ROUND((説明!$B$4-DATE(J196,7,1))/365.25,1)))</f>
        <v>0.3</v>
      </c>
      <c r="Q196" s="12" t="s">
        <v>153</v>
      </c>
      <c r="R196" s="12"/>
      <c r="S196" s="10" t="s">
        <v>108</v>
      </c>
      <c r="T196" s="12" t="s">
        <v>68</v>
      </c>
      <c r="U196" s="12"/>
    </row>
    <row r="197" customFormat="false" ht="29.85" hidden="false" customHeight="false" outlineLevel="0" collapsed="false">
      <c r="A197" s="10" t="n">
        <v>196</v>
      </c>
      <c r="B197" s="11" t="s">
        <v>654</v>
      </c>
      <c r="C197" s="11" t="s">
        <v>713</v>
      </c>
      <c r="D197" s="12" t="s">
        <v>714</v>
      </c>
      <c r="E197" s="12" t="s">
        <v>722</v>
      </c>
      <c r="F197" s="12"/>
      <c r="G197" s="12" t="s">
        <v>88</v>
      </c>
      <c r="H197" s="12" t="s">
        <v>318</v>
      </c>
      <c r="I197" s="11" t="s">
        <v>105</v>
      </c>
      <c r="J197" s="13"/>
      <c r="K197" s="13" t="n">
        <v>2016</v>
      </c>
      <c r="L197" s="13"/>
      <c r="M197" s="10"/>
      <c r="N197" s="12"/>
      <c r="O197" s="14" t="n">
        <f aca="false">IF(K197="","",ROUND((説明!$B$4-DATE(K197,IF(L197="",7,L197),1))/365.25,1))</f>
        <v>10.3</v>
      </c>
      <c r="P197" s="14" t="str">
        <f aca="false">IF(J197="","",IF(AND(J197=K197,L197&lt;&gt;""),O197,ROUND((説明!$B$4-DATE(J197,7,1))/365.25,1)))</f>
        <v/>
      </c>
      <c r="Q197" s="12" t="s">
        <v>164</v>
      </c>
      <c r="R197" s="12"/>
      <c r="S197" s="10" t="s">
        <v>108</v>
      </c>
      <c r="T197" s="12" t="s">
        <v>68</v>
      </c>
      <c r="U197" s="12"/>
    </row>
    <row r="198" customFormat="false" ht="44" hidden="false" customHeight="false" outlineLevel="0" collapsed="false">
      <c r="A198" s="10" t="n">
        <v>197</v>
      </c>
      <c r="B198" s="11" t="s">
        <v>654</v>
      </c>
      <c r="C198" s="11" t="s">
        <v>723</v>
      </c>
      <c r="D198" s="12" t="s">
        <v>724</v>
      </c>
      <c r="E198" s="12" t="s">
        <v>725</v>
      </c>
      <c r="F198" s="12"/>
      <c r="G198" s="12" t="s">
        <v>88</v>
      </c>
      <c r="H198" s="12" t="s">
        <v>658</v>
      </c>
      <c r="I198" s="11" t="s">
        <v>105</v>
      </c>
      <c r="J198" s="13"/>
      <c r="K198" s="13" t="n">
        <v>2018</v>
      </c>
      <c r="L198" s="13"/>
      <c r="M198" s="10"/>
      <c r="N198" s="12"/>
      <c r="O198" s="14" t="n">
        <f aca="false">IF(K198="","",ROUND((説明!$B$4-DATE(K198,IF(L198="",7,L198),1))/365.25,1))</f>
        <v>8.3</v>
      </c>
      <c r="P198" s="14" t="str">
        <f aca="false">IF(J198="","",IF(AND(J198=K198,L198&lt;&gt;""),O198,ROUND((説明!$B$4-DATE(J198,7,1))/365.25,1)))</f>
        <v/>
      </c>
      <c r="Q198" s="12" t="s">
        <v>153</v>
      </c>
      <c r="R198" s="12"/>
      <c r="S198" s="10" t="s">
        <v>108</v>
      </c>
      <c r="T198" s="12" t="s">
        <v>68</v>
      </c>
      <c r="U198" s="12"/>
    </row>
    <row r="199" customFormat="false" ht="44" hidden="false" customHeight="false" outlineLevel="0" collapsed="false">
      <c r="A199" s="10" t="n">
        <v>198</v>
      </c>
      <c r="B199" s="11" t="s">
        <v>654</v>
      </c>
      <c r="C199" s="11" t="s">
        <v>723</v>
      </c>
      <c r="D199" s="12" t="s">
        <v>724</v>
      </c>
      <c r="E199" s="12" t="s">
        <v>726</v>
      </c>
      <c r="F199" s="12"/>
      <c r="G199" s="11" t="s">
        <v>80</v>
      </c>
      <c r="H199" s="12" t="s">
        <v>318</v>
      </c>
      <c r="I199" s="11" t="s">
        <v>105</v>
      </c>
      <c r="J199" s="13"/>
      <c r="K199" s="13" t="n">
        <v>2024</v>
      </c>
      <c r="L199" s="13"/>
      <c r="M199" s="10"/>
      <c r="N199" s="12"/>
      <c r="O199" s="14" t="n">
        <f aca="false">IF(K199="","",ROUND((説明!$B$4-DATE(K199,IF(L199="",7,L199),1))/365.25,1))</f>
        <v>2.3</v>
      </c>
      <c r="P199" s="14" t="str">
        <f aca="false">IF(J199="","",IF(AND(J199=K199,L199&lt;&gt;""),O199,ROUND((説明!$B$4-DATE(J199,7,1))/365.25,1)))</f>
        <v/>
      </c>
      <c r="Q199" s="12" t="s">
        <v>153</v>
      </c>
      <c r="R199" s="12"/>
      <c r="S199" s="10" t="s">
        <v>108</v>
      </c>
      <c r="T199" s="12" t="s">
        <v>68</v>
      </c>
      <c r="U199" s="12"/>
    </row>
    <row r="200" customFormat="false" ht="44" hidden="false" customHeight="false" outlineLevel="0" collapsed="false">
      <c r="A200" s="10" t="n">
        <v>199</v>
      </c>
      <c r="B200" s="11" t="s">
        <v>654</v>
      </c>
      <c r="C200" s="11" t="s">
        <v>723</v>
      </c>
      <c r="D200" s="12" t="s">
        <v>724</v>
      </c>
      <c r="E200" s="12" t="s">
        <v>727</v>
      </c>
      <c r="F200" s="12"/>
      <c r="G200" s="11" t="s">
        <v>163</v>
      </c>
      <c r="H200" s="11" t="s">
        <v>117</v>
      </c>
      <c r="I200" s="11" t="s">
        <v>105</v>
      </c>
      <c r="J200" s="13"/>
      <c r="K200" s="13" t="n">
        <v>2019</v>
      </c>
      <c r="L200" s="13"/>
      <c r="M200" s="10"/>
      <c r="N200" s="12"/>
      <c r="O200" s="14" t="n">
        <f aca="false">IF(K200="","",ROUND((説明!$B$4-DATE(K200,IF(L200="",7,L200),1))/365.25,1))</f>
        <v>7.3</v>
      </c>
      <c r="P200" s="14" t="str">
        <f aca="false">IF(J200="","",IF(AND(J200=K200,L200&lt;&gt;""),O200,ROUND((説明!$B$4-DATE(J200,7,1))/365.25,1)))</f>
        <v/>
      </c>
      <c r="Q200" s="12" t="s">
        <v>153</v>
      </c>
      <c r="R200" s="12"/>
      <c r="S200" s="10" t="s">
        <v>108</v>
      </c>
      <c r="T200" s="12" t="s">
        <v>68</v>
      </c>
      <c r="U200" s="12" t="s">
        <v>728</v>
      </c>
    </row>
    <row r="201" customFormat="false" ht="44" hidden="false" customHeight="false" outlineLevel="0" collapsed="false">
      <c r="A201" s="10" t="n">
        <v>200</v>
      </c>
      <c r="B201" s="11" t="s">
        <v>654</v>
      </c>
      <c r="C201" s="11" t="s">
        <v>723</v>
      </c>
      <c r="D201" s="12" t="s">
        <v>724</v>
      </c>
      <c r="E201" s="12" t="s">
        <v>729</v>
      </c>
      <c r="F201" s="12"/>
      <c r="G201" s="11" t="s">
        <v>80</v>
      </c>
      <c r="H201" s="12" t="s">
        <v>151</v>
      </c>
      <c r="I201" s="11" t="s">
        <v>105</v>
      </c>
      <c r="J201" s="13" t="n">
        <v>2021</v>
      </c>
      <c r="K201" s="13" t="n">
        <v>2021</v>
      </c>
      <c r="L201" s="13"/>
      <c r="M201" s="16" t="s">
        <v>74</v>
      </c>
      <c r="N201" s="12"/>
      <c r="O201" s="14" t="n">
        <f aca="false">IF(K201="","",ROUND((説明!$B$4-DATE(K201,IF(L201="",7,L201),1))/365.25,1))</f>
        <v>5.3</v>
      </c>
      <c r="P201" s="14" t="n">
        <f aca="false">IF(J201="","",IF(AND(J201=K201,L201&lt;&gt;""),O201,ROUND((説明!$B$4-DATE(J201,7,1))/365.25,1)))</f>
        <v>5.3</v>
      </c>
      <c r="Q201" s="12" t="s">
        <v>164</v>
      </c>
      <c r="R201" s="12"/>
      <c r="S201" s="10" t="s">
        <v>108</v>
      </c>
      <c r="T201" s="12" t="s">
        <v>68</v>
      </c>
      <c r="U201" s="12"/>
    </row>
    <row r="202" customFormat="false" ht="44" hidden="false" customHeight="false" outlineLevel="0" collapsed="false">
      <c r="A202" s="10" t="n">
        <v>201</v>
      </c>
      <c r="B202" s="11" t="s">
        <v>654</v>
      </c>
      <c r="C202" s="11" t="s">
        <v>723</v>
      </c>
      <c r="D202" s="12" t="s">
        <v>724</v>
      </c>
      <c r="E202" s="12" t="s">
        <v>730</v>
      </c>
      <c r="F202" s="12"/>
      <c r="G202" s="12" t="s">
        <v>88</v>
      </c>
      <c r="H202" s="12" t="s">
        <v>151</v>
      </c>
      <c r="I202" s="11" t="s">
        <v>105</v>
      </c>
      <c r="J202" s="13"/>
      <c r="K202" s="13" t="n">
        <v>2025</v>
      </c>
      <c r="L202" s="13"/>
      <c r="M202" s="10"/>
      <c r="N202" s="12"/>
      <c r="O202" s="14" t="n">
        <f aca="false">IF(K202="","",ROUND((説明!$B$4-DATE(K202,IF(L202="",7,L202),1))/365.25,1))</f>
        <v>1.3</v>
      </c>
      <c r="P202" s="14" t="str">
        <f aca="false">IF(J202="","",IF(AND(J202=K202,L202&lt;&gt;""),O202,ROUND((説明!$B$4-DATE(J202,7,1))/365.25,1)))</f>
        <v/>
      </c>
      <c r="Q202" s="12" t="s">
        <v>164</v>
      </c>
      <c r="R202" s="12"/>
      <c r="S202" s="10" t="s">
        <v>108</v>
      </c>
      <c r="T202" s="12" t="s">
        <v>68</v>
      </c>
      <c r="U202" s="12" t="s">
        <v>731</v>
      </c>
    </row>
    <row r="203" customFormat="false" ht="44" hidden="false" customHeight="false" outlineLevel="0" collapsed="false">
      <c r="A203" s="10" t="n">
        <v>202</v>
      </c>
      <c r="B203" s="11" t="s">
        <v>654</v>
      </c>
      <c r="C203" s="11" t="s">
        <v>723</v>
      </c>
      <c r="D203" s="12" t="s">
        <v>724</v>
      </c>
      <c r="E203" s="12" t="s">
        <v>732</v>
      </c>
      <c r="F203" s="12"/>
      <c r="G203" s="11" t="s">
        <v>733</v>
      </c>
      <c r="H203" s="11" t="s">
        <v>117</v>
      </c>
      <c r="I203" s="11" t="s">
        <v>105</v>
      </c>
      <c r="J203" s="13"/>
      <c r="K203" s="13" t="n">
        <v>2016</v>
      </c>
      <c r="L203" s="13"/>
      <c r="M203" s="10"/>
      <c r="N203" s="12"/>
      <c r="O203" s="14" t="n">
        <f aca="false">IF(K203="","",ROUND((説明!$B$4-DATE(K203,IF(L203="",7,L203),1))/365.25,1))</f>
        <v>10.3</v>
      </c>
      <c r="P203" s="14" t="str">
        <f aca="false">IF(J203="","",IF(AND(J203=K203,L203&lt;&gt;""),O203,ROUND((説明!$B$4-DATE(J203,7,1))/365.25,1)))</f>
        <v/>
      </c>
      <c r="Q203" s="12" t="s">
        <v>164</v>
      </c>
      <c r="R203" s="12"/>
      <c r="S203" s="10" t="s">
        <v>108</v>
      </c>
      <c r="T203" s="12" t="s">
        <v>68</v>
      </c>
      <c r="U203" s="12"/>
    </row>
    <row r="204" customFormat="false" ht="29.85" hidden="false" customHeight="false" outlineLevel="0" collapsed="false">
      <c r="A204" s="10" t="n">
        <v>203</v>
      </c>
      <c r="B204" s="11" t="s">
        <v>654</v>
      </c>
      <c r="C204" s="11" t="s">
        <v>734</v>
      </c>
      <c r="D204" s="12" t="s">
        <v>735</v>
      </c>
      <c r="E204" s="12" t="s">
        <v>736</v>
      </c>
      <c r="F204" s="12"/>
      <c r="G204" s="11" t="s">
        <v>80</v>
      </c>
      <c r="H204" s="11" t="s">
        <v>117</v>
      </c>
      <c r="I204" s="11" t="s">
        <v>105</v>
      </c>
      <c r="J204" s="13"/>
      <c r="K204" s="13" t="n">
        <v>2025</v>
      </c>
      <c r="L204" s="13"/>
      <c r="M204" s="10"/>
      <c r="N204" s="12"/>
      <c r="O204" s="14" t="n">
        <f aca="false">IF(K204="","",ROUND((説明!$B$4-DATE(K204,IF(L204="",7,L204),1))/365.25,1))</f>
        <v>1.3</v>
      </c>
      <c r="P204" s="14" t="str">
        <f aca="false">IF(J204="","",IF(AND(J204=K204,L204&lt;&gt;""),O204,ROUND((説明!$B$4-DATE(J204,7,1))/365.25,1)))</f>
        <v/>
      </c>
      <c r="Q204" s="12" t="s">
        <v>153</v>
      </c>
      <c r="R204" s="12"/>
      <c r="S204" s="10" t="s">
        <v>108</v>
      </c>
      <c r="T204" s="12" t="s">
        <v>68</v>
      </c>
      <c r="U204" s="11" t="s">
        <v>737</v>
      </c>
    </row>
    <row r="205" customFormat="false" ht="29.85" hidden="false" customHeight="false" outlineLevel="0" collapsed="false">
      <c r="A205" s="10" t="n">
        <v>204</v>
      </c>
      <c r="B205" s="11" t="s">
        <v>654</v>
      </c>
      <c r="C205" s="11" t="s">
        <v>734</v>
      </c>
      <c r="D205" s="12" t="s">
        <v>735</v>
      </c>
      <c r="E205" s="12" t="s">
        <v>738</v>
      </c>
      <c r="F205" s="12"/>
      <c r="G205" s="11" t="s">
        <v>163</v>
      </c>
      <c r="H205" s="11" t="s">
        <v>117</v>
      </c>
      <c r="I205" s="11" t="s">
        <v>105</v>
      </c>
      <c r="J205" s="13"/>
      <c r="K205" s="13" t="n">
        <v>2015</v>
      </c>
      <c r="L205" s="13"/>
      <c r="M205" s="10"/>
      <c r="N205" s="12"/>
      <c r="O205" s="14" t="n">
        <f aca="false">IF(K205="","",ROUND((説明!$B$4-DATE(K205,IF(L205="",7,L205),1))/365.25,1))</f>
        <v>11.3</v>
      </c>
      <c r="P205" s="14" t="str">
        <f aca="false">IF(J205="","",IF(AND(J205=K205,L205&lt;&gt;""),O205,ROUND((説明!$B$4-DATE(J205,7,1))/365.25,1)))</f>
        <v/>
      </c>
      <c r="Q205" s="12" t="s">
        <v>164</v>
      </c>
      <c r="R205" s="12"/>
      <c r="S205" s="10" t="s">
        <v>108</v>
      </c>
      <c r="T205" s="12" t="s">
        <v>68</v>
      </c>
      <c r="U205" s="11" t="s">
        <v>739</v>
      </c>
    </row>
  </sheetData>
  <autoFilter ref="A1:U205"/>
  <hyperlinks>
    <hyperlink ref="T2" r:id="rId1" display="https://www.motorexpo.co.th/en/news/5258"/>
    <hyperlink ref="T4" r:id="rId2" display="https://www.motorexpo.co.th/en/news/5258"/>
    <hyperlink ref="T5" r:id="rId3" display="https://www.motorexpo.co.th/en/news/5258"/>
    <hyperlink ref="T6" r:id="rId4" display="https://www.wapcar.my/news/price-equals-up-to-rm-115k-2023-toyota-yaris-cross-launched-in-thailand-15l-hybridonly-tss-74208"/>
    <hyperlink ref="T8" r:id="rId5" display="https://bestsellingcarsblog.com/2015/08/thailand-july-2015-new-toyota-fortuner-and-ford-ranger-land/"/>
    <hyperlink ref="T10" r:id="rId6" display="https://autobuzz.my/2024/10/11/all-new-9th-gen-toyota-camry-launched-in-thailand-with-three-variants-from-approx-rm190k/"/>
    <hyperlink ref="T12" r:id="rId7" display="https://autobuzz.my/2022/02/24/2022-toyota-veloz-launched-in-thailand-to-replace-ageing-avanza/"/>
    <hyperlink ref="T13" r:id="rId8" display="https://autobuzz.my/2023/08/17/all-new-toyota-alphard-vellfire-launched-in-thailand-6-seater-boss-carriers-with-2-5-litre-hybrid/"/>
    <hyperlink ref="T15" r:id="rId9" display="https://autobuzz.my/2023/08/17/all-new-toyota-alphard-vellfire-launched-in-thailand-6-seater-boss-carriers-with-2-5-litre-hybrid/"/>
    <hyperlink ref="T17" r:id="rId10" display="https://en.thairath.co.th/news/auto/2921594"/>
    <hyperlink ref="T18" r:id="rId11" display="https://Www.wapcar.my/news/after-malaysia-thailand-finally-gets-the-allnew-2023-toyota-innova-zenix-hybrid-only-and-priced-from-rm-185k-70989"/>
    <hyperlink ref="T19" r:id="rId12" display="https://carz.com.my/2022/11/toyota-bz4x-ev-exceeds-initial-pre-order-expectations-in-thailand"/>
    <hyperlink ref="T31" r:id="rId13" display="https://www.thestorythailand.com/en/?p=94133"/>
    <hyperlink ref="T32" r:id="rId14" display="https://www.topgear.com.ph/news/car-news/honda-accord-thailand-g11-a5100-20231002"/>
    <hyperlink ref="T33" r:id="rId15" display="https://paultan.org/2026/03/27/honda-stepwgn-2026-dipamer-di-thailand-varian-spada-hibrid-2-0l-import-dari-jepun-rm216k/"/>
    <hyperlink ref="T35" r:id="rId16" display="https://www.electrive.com/2026/03/05/honda-to-launch-china-focused-ens2-in-thailand-and-japan/"/>
    <hyperlink ref="T38" r:id="rId17" display="https://en.thairath.co.th/news/auto/2920545"/>
    <hyperlink ref="T39" r:id="rId18" display="https://c.8891.com.tw/news/19900"/>
    <hyperlink ref="T41" r:id="rId19" display="https://paultan.org/tags/bangkok-motor-show-2026/page/2/"/>
    <hyperlink ref="T45" r:id="rId20" display="https://paultan.org/tags/bangkok-motor-show-2026/page/2/"/>
    <hyperlink ref="T46" r:id="rId21" display="https://www.wapcar.my/news/priced-from-equivalent-of-rm-220k-c28-nissan-serena-e-power-launched-in-thailand-740146"/>
    <hyperlink ref="T47" r:id="rId22" display="https://paultan.org/tags/bangkok-motor-show-2026/page/2/"/>
    <hyperlink ref="T55" r:id="rId23" display="https://en.thairath.co.th/news/auto/2922284"/>
    <hyperlink ref="T59" r:id="rId24" display="https://www.suzuki.co.th/en/news/articles/news-223"/>
    <hyperlink ref="T66" r:id="rId25" display="https://cnevpost.com/2023/07/07/byd-launches-dolphin-in-thailand/"/>
    <hyperlink ref="T67" r:id="rId26" display="https://thestandard.co/?p=700454"/>
    <hyperlink ref="T68" r:id="rId27" display="https://cnevpost.com/2024/08/11/byd-launches-sealion-6-dm-i-thailand/"/>
    <hyperlink ref="T69" r:id="rId28" display="https://bestsellingcarsblog.com/2025/04/thailand-february-2025-toyota-hilux-revo-back-to-1/"/>
    <hyperlink ref="T70" r:id="rId29" display="https://www.metal.com/en/newscontent/103475884"/>
    <hyperlink ref="T71" r:id="rId30" display="https://www.marklines.com/ja/news/342393"/>
    <hyperlink ref="T72" r:id="rId31" display="https://cnevpost.com/2024/09/11/byd-launches-m6-mpv-thailand/"/>
    <hyperlink ref="T73" r:id="rId32" display="https://www.marklines.com/en/news/295468"/>
    <hyperlink ref="T74" r:id="rId33" display="https://en.thairath.co.th/news/auto/2922024"/>
    <hyperlink ref="T75" r:id="rId34" display="https://www.marklines.com/ja/news/342393"/>
    <hyperlink ref="T76" r:id="rId35" display="https://www.marklines.com/ja/news/342393"/>
    <hyperlink ref="T78" r:id="rId36" display="https://carnewschina.com/2024/11/03/byds-denza-officially-entered-thailand-will-launch-denza-d9-premium-mpv/"/>
    <hyperlink ref="T79" r:id="rId37" display="https://www.wapcar.my/news/cheaper-than-city-hatchback-ehev-jaecoo-j5-bev-launched-in-thailand-400-km-range-211-ps-288-nm-745796"/>
    <hyperlink ref="T80" r:id="rId38" display="https://proliance.co.th/?p=1958"/>
    <hyperlink ref="T82" r:id="rId39" display="https://www.carlist.my/news/jaecoo-6t-reev-priced-from-equivalent-of-rm-107k-in-thailand-undercuts-bev-sibling-by-up-to-20-150231/150231/"/>
    <hyperlink ref="T83" r:id="rId40" display="https://proliance.co.th/?p=1958"/>
    <hyperlink ref="T84" r:id="rId41" display="https://www.chery-thailand.com/en/news/Happiness-On-The-Move-Blog"/>
    <hyperlink ref="T85" r:id="rId42" display="https://www.chery-thailand.com/en/news/chery-makes-a-grand-debut-in-thailand-with-chery-thailand-grand-premiere-launch"/>
    <hyperlink ref="T86" r:id="rId43" display="https://www.marklines.com/en/news/348181"/>
    <hyperlink ref="T87" r:id="rId44" display="https://autobuzz.my/2025/03/28/new-mg-s5-ev-debuts-at-2025-bangkok-motor-show-zs-ev-replacement/"/>
    <hyperlink ref="T88" r:id="rId45" display="https://www.marklines.com/en/news/279743"/>
    <hyperlink ref="T89" r:id="rId46" display="https://www.marklines.com/ja/news/346330"/>
    <hyperlink ref="T100" r:id="rId47" display="https://www.marklines.com/en/news/323625"/>
    <hyperlink ref="T101" r:id="rId48" display="https://en.thairath.co.th/news/auto/2922268"/>
    <hyperlink ref="T102" r:id="rId49" display="https://www.motorexpo.co.th/en/news/5236"/>
    <hyperlink ref="T103" r:id="rId50" display="https://wapcar.my/news/geely-breaking-its-promise-to-make-malaysia-its-rhd-hub-launches-chinamade-geely-ex5-in-thailand-83033"/>
    <hyperlink ref="T104" r:id="rId51" display="https://cnevpost.com/2025/08/19/zeekr-launches-7x-thailand/"/>
    <hyperlink ref="T105" r:id="rId52" display="https://cnevpost.com/2025/08/19/zeekr-launches-7x-thailand/"/>
    <hyperlink ref="T106" r:id="rId53" display="https://cnevpost.com/2025/08/19/zeekr-launches-7x-thailand/"/>
    <hyperlink ref="T107" r:id="rId54" display="https://autobuzz.my/2024/11/01/land-of-smiles-gets-its-first-electric-pickup-truck-with-the-launch-of-the-riddara-rd6-in-thailand/"/>
    <hyperlink ref="T109" r:id="rId55" display="https://en.thairath.co.th/news/auto/2954417"/>
    <hyperlink ref="T110" r:id="rId56" display="https://en.thairath.co.th/news/auto/2931070"/>
    <hyperlink ref="T111" r:id="rId57" display="https://www.marklines.com/en/news/295507"/>
    <hyperlink ref="T112" r:id="rId58" display="https://cnevpost.com/2021/10/30/great-wall-motors-ora-good-cat-officially-launched-in-thailand-priced-from-about-29700"/>
    <hyperlink ref="T113" r:id="rId59" display="https://cnevpost.com/2021/10/19/great-wall-motor-says-ora-good-cat-gets-over-6000-orders-within-48-hours-of-pre-sale-in-thailand"/>
    <hyperlink ref="T114" r:id="rId60" display="https://www.marklines.com/en/news/295507"/>
    <hyperlink ref="T115" r:id="rId61" display="https://carnewschina.com/2025/11/29/gwms-wey-g9-hi4-rhd-mpv-launched-in-thailand-priced-at-2-349-million-baht"/>
    <hyperlink ref="T118" r:id="rId62" display="https://autonews.gasgoo.com/articles/news/gac-puts-aion-ut-model-onto-thai-market-70037913"/>
    <hyperlink ref="T119" r:id="rId63" display="https://autonews.gasgoo.com/china_news/70035792.html"/>
    <hyperlink ref="T120" r:id="rId64" display="https://paultan.org/topics/cars/china/gac/"/>
    <hyperlink ref="T121" r:id="rId65" display="https://carnewschina.com/2023/09/09/gac-aion-y-plus-all-electric-suv-launched-in-thailand-price-starts-at-29900-usd/"/>
    <hyperlink ref="T123" r:id="rId66" display="https://www.motorexpo.co.th/en/news/5251"/>
    <hyperlink ref="T124" r:id="rId67" display="https://www.wapcar.my/news/bound-for-malaysia-deepal-s05-launched-in-thailand-in-bev-and-reev-guises-from-equivalent-of-rm-104k-740152"/>
    <hyperlink ref="T125" r:id="rId68" display="https://cnevpost.com/2023/11/30/deepal-starts-selling-2-ev-models-thailand/"/>
    <hyperlink ref="T126" r:id="rId69" display="https://cnevpost.com/2023/11/30/deepal-starts-selling-2-ev-models-thailand/"/>
    <hyperlink ref="T127" r:id="rId70" display="https://en.thairath.co.th/news/auto/2910923"/>
    <hyperlink ref="T128" r:id="rId71" display="https://en.thairath.co.th/news/auto/2910923"/>
    <hyperlink ref="T129" r:id="rId72" display="https://carnewschina.com/2026/05/29/changans-atto-2-rival-nevo-q05-launches-in-thailand-starting-from-19400-usd/"/>
    <hyperlink ref="T130" r:id="rId73" display="https://cnevpost.com/2026/01/28/avatr-rolls-off-1st-right-hand-drive-07-suvs/"/>
    <hyperlink ref="T131" r:id="rId74" display="https://en.thairath.co.th/news/auto/2904026"/>
    <hyperlink ref="T132" r:id="rId75" display="https://www.wapcar.my/news/xpeng-g6-bev-launched-in-thailand-from-an-equivalent-of-rm-183k-81378"/>
    <hyperlink ref="T133" r:id="rId76" display="https://www.carz.com.my/2024/11/xpeng-x9-debuts-in-thailand-from-rm361k-malaysia-soon?amp=1"/>
    <hyperlink ref="T134" r:id="rId77" display="https://autobuzz.my/2025/10/13/leapmotor-b10-debuts-in-thailand-same-power-as-c10-smaller-package/"/>
    <hyperlink ref="T135" r:id="rId78" display="https://autolifethailand.tv/leapmotor-b10-ev-bev-coming-thailand-oct2025/"/>
    <hyperlink ref="T136" r:id="rId79" display="https://en.thairath.co.th/news/auto/2918624"/>
    <hyperlink ref="T139" r:id="rId80" display="https://en.thairath.co.th/news/auto/2925570"/>
    <hyperlink ref="T151" r:id="rId81" display="https://autolifethailand.tv/?p=51559"/>
    <hyperlink ref="T152" r:id="rId82" display="https://autolifethailand.tv/?p=51559"/>
    <hyperlink ref="T153" r:id="rId83" display="https://autolifethailand.tv/?p=51559"/>
    <hyperlink ref="T155" r:id="rId84" display="https://www.marketingoops.com/?p=33745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4" min="3" style="0" width="26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42"/>
    <col collapsed="false" customWidth="true" hidden="false" outlineLevel="0" max="9" min="9" style="0" width="36"/>
  </cols>
  <sheetData>
    <row r="1" customFormat="false" ht="30" hidden="false" customHeight="true" outlineLevel="0" collapsed="false">
      <c r="A1" s="9" t="s">
        <v>29</v>
      </c>
      <c r="B1" s="9" t="s">
        <v>30</v>
      </c>
      <c r="C1" s="9" t="s">
        <v>31</v>
      </c>
      <c r="D1" s="9" t="s">
        <v>740</v>
      </c>
      <c r="E1" s="9" t="s">
        <v>741</v>
      </c>
      <c r="F1" s="8" t="s">
        <v>44</v>
      </c>
      <c r="G1" s="9" t="s">
        <v>742</v>
      </c>
      <c r="H1" s="9" t="s">
        <v>45</v>
      </c>
      <c r="I1" s="9" t="s">
        <v>46</v>
      </c>
    </row>
    <row r="2" customFormat="false" ht="15" hidden="false" customHeight="false" outlineLevel="0" collapsed="false">
      <c r="A2" s="11" t="s">
        <v>47</v>
      </c>
      <c r="B2" s="11" t="s">
        <v>48</v>
      </c>
      <c r="C2" s="12" t="s">
        <v>49</v>
      </c>
      <c r="D2" s="11" t="s">
        <v>743</v>
      </c>
      <c r="E2" s="11" t="s">
        <v>744</v>
      </c>
      <c r="F2" s="12" t="s">
        <v>83</v>
      </c>
      <c r="G2" s="10" t="n">
        <f aca="false">COUNTIF(モデル一覧!$D:$D,"Toyota")</f>
        <v>22</v>
      </c>
      <c r="H2" s="12" t="s">
        <v>68</v>
      </c>
      <c r="I2" s="12"/>
    </row>
    <row r="3" customFormat="false" ht="15" hidden="false" customHeight="false" outlineLevel="0" collapsed="false">
      <c r="A3" s="11" t="s">
        <v>47</v>
      </c>
      <c r="B3" s="11" t="s">
        <v>48</v>
      </c>
      <c r="C3" s="12" t="s">
        <v>166</v>
      </c>
      <c r="D3" s="11" t="s">
        <v>743</v>
      </c>
      <c r="E3" s="11" t="s">
        <v>129</v>
      </c>
      <c r="F3" s="12" t="s">
        <v>153</v>
      </c>
      <c r="G3" s="10" t="n">
        <f aca="false">COUNTIF(モデル一覧!$D:$D,"Lexus")</f>
        <v>3</v>
      </c>
      <c r="H3" s="12" t="s">
        <v>68</v>
      </c>
      <c r="I3" s="11" t="s">
        <v>745</v>
      </c>
    </row>
    <row r="4" customFormat="false" ht="15" hidden="false" customHeight="false" outlineLevel="0" collapsed="false">
      <c r="A4" s="11" t="s">
        <v>47</v>
      </c>
      <c r="B4" s="11" t="s">
        <v>173</v>
      </c>
      <c r="C4" s="12" t="s">
        <v>174</v>
      </c>
      <c r="D4" s="11" t="s">
        <v>743</v>
      </c>
      <c r="E4" s="11" t="s">
        <v>54</v>
      </c>
      <c r="F4" s="12" t="s">
        <v>83</v>
      </c>
      <c r="G4" s="10" t="n">
        <f aca="false">COUNTIF(モデル一覧!$D:$D,"Honda")</f>
        <v>9</v>
      </c>
      <c r="H4" s="12" t="s">
        <v>68</v>
      </c>
      <c r="I4" s="12" t="s">
        <v>746</v>
      </c>
    </row>
    <row r="5" customFormat="false" ht="15" hidden="false" customHeight="false" outlineLevel="0" collapsed="false">
      <c r="A5" s="11" t="s">
        <v>47</v>
      </c>
      <c r="B5" s="11" t="s">
        <v>207</v>
      </c>
      <c r="C5" s="12" t="s">
        <v>208</v>
      </c>
      <c r="D5" s="11" t="s">
        <v>743</v>
      </c>
      <c r="E5" s="11" t="s">
        <v>54</v>
      </c>
      <c r="F5" s="12" t="s">
        <v>83</v>
      </c>
      <c r="G5" s="10" t="n">
        <f aca="false">COUNTIF(モデル一覧!$D:$D,"Isuzu")</f>
        <v>3</v>
      </c>
      <c r="H5" s="12" t="s">
        <v>68</v>
      </c>
      <c r="I5" s="12"/>
    </row>
    <row r="6" customFormat="false" ht="15" hidden="false" customHeight="false" outlineLevel="0" collapsed="false">
      <c r="A6" s="11" t="s">
        <v>47</v>
      </c>
      <c r="B6" s="11" t="s">
        <v>219</v>
      </c>
      <c r="C6" s="12" t="s">
        <v>220</v>
      </c>
      <c r="D6" s="11" t="s">
        <v>743</v>
      </c>
      <c r="E6" s="11" t="s">
        <v>222</v>
      </c>
      <c r="F6" s="12" t="s">
        <v>83</v>
      </c>
      <c r="G6" s="10" t="n">
        <f aca="false">COUNTIF(モデル一覧!$D:$D,"Mitsubishi")</f>
        <v>7</v>
      </c>
      <c r="H6" s="12" t="s">
        <v>68</v>
      </c>
      <c r="I6" s="12"/>
    </row>
    <row r="7" customFormat="false" ht="15" hidden="false" customHeight="false" outlineLevel="0" collapsed="false">
      <c r="A7" s="11" t="s">
        <v>47</v>
      </c>
      <c r="B7" s="11" t="s">
        <v>243</v>
      </c>
      <c r="C7" s="12" t="s">
        <v>244</v>
      </c>
      <c r="D7" s="11" t="s">
        <v>743</v>
      </c>
      <c r="E7" s="11" t="s">
        <v>54</v>
      </c>
      <c r="F7" s="12" t="s">
        <v>99</v>
      </c>
      <c r="G7" s="10" t="n">
        <f aca="false">COUNTIF(モデル一覧!$D:$D,"Nissan")</f>
        <v>5</v>
      </c>
      <c r="H7" s="12" t="s">
        <v>68</v>
      </c>
      <c r="I7" s="12"/>
    </row>
    <row r="8" customFormat="false" ht="15" hidden="false" customHeight="false" outlineLevel="0" collapsed="false">
      <c r="A8" s="11" t="s">
        <v>47</v>
      </c>
      <c r="B8" s="11" t="s">
        <v>262</v>
      </c>
      <c r="C8" s="12" t="s">
        <v>263</v>
      </c>
      <c r="D8" s="11" t="s">
        <v>743</v>
      </c>
      <c r="E8" s="11" t="s">
        <v>747</v>
      </c>
      <c r="F8" s="12" t="s">
        <v>99</v>
      </c>
      <c r="G8" s="10" t="n">
        <f aca="false">COUNTIF(モデル一覧!$D:$D,"Mazda")</f>
        <v>7</v>
      </c>
      <c r="H8" s="12" t="s">
        <v>68</v>
      </c>
      <c r="I8" s="12" t="s">
        <v>748</v>
      </c>
    </row>
    <row r="9" customFormat="false" ht="29.85" hidden="false" customHeight="false" outlineLevel="0" collapsed="false">
      <c r="A9" s="11" t="s">
        <v>47</v>
      </c>
      <c r="B9" s="11" t="s">
        <v>282</v>
      </c>
      <c r="C9" s="12" t="s">
        <v>283</v>
      </c>
      <c r="D9" s="11" t="s">
        <v>743</v>
      </c>
      <c r="E9" s="11" t="s">
        <v>749</v>
      </c>
      <c r="F9" s="12" t="s">
        <v>106</v>
      </c>
      <c r="G9" s="10" t="n">
        <f aca="false">COUNTIF(モデル一覧!$D:$D,"Suzuki")</f>
        <v>6</v>
      </c>
      <c r="H9" s="12" t="s">
        <v>68</v>
      </c>
      <c r="I9" s="12"/>
    </row>
    <row r="10" customFormat="false" ht="15" hidden="false" customHeight="false" outlineLevel="0" collapsed="false">
      <c r="A10" s="11" t="s">
        <v>47</v>
      </c>
      <c r="B10" s="11" t="s">
        <v>297</v>
      </c>
      <c r="C10" s="12" t="s">
        <v>298</v>
      </c>
      <c r="D10" s="11" t="s">
        <v>743</v>
      </c>
      <c r="E10" s="11" t="s">
        <v>259</v>
      </c>
      <c r="F10" s="12" t="s">
        <v>153</v>
      </c>
      <c r="G10" s="10" t="n">
        <f aca="false">COUNTIF(モデル一覧!$D:$D,"Subaru")</f>
        <v>2</v>
      </c>
      <c r="H10" s="12" t="s">
        <v>68</v>
      </c>
      <c r="I10" s="11" t="s">
        <v>750</v>
      </c>
    </row>
    <row r="11" customFormat="false" ht="29.85" hidden="false" customHeight="false" outlineLevel="0" collapsed="false">
      <c r="A11" s="11" t="s">
        <v>303</v>
      </c>
      <c r="B11" s="12" t="s">
        <v>304</v>
      </c>
      <c r="C11" s="12" t="s">
        <v>304</v>
      </c>
      <c r="D11" s="12" t="s">
        <v>751</v>
      </c>
      <c r="E11" s="11" t="s">
        <v>752</v>
      </c>
      <c r="F11" s="12" t="s">
        <v>83</v>
      </c>
      <c r="G11" s="10" t="n">
        <f aca="false">COUNTIF(モデル一覧!$D:$D,"BYD")</f>
        <v>12</v>
      </c>
      <c r="H11" s="15" t="s">
        <v>753</v>
      </c>
      <c r="I11" s="12"/>
    </row>
    <row r="12" customFormat="false" ht="15" hidden="false" customHeight="false" outlineLevel="0" collapsed="false">
      <c r="A12" s="11" t="s">
        <v>303</v>
      </c>
      <c r="B12" s="12" t="s">
        <v>304</v>
      </c>
      <c r="C12" s="12" t="s">
        <v>357</v>
      </c>
      <c r="D12" s="12" t="s">
        <v>754</v>
      </c>
      <c r="E12" s="11" t="s">
        <v>259</v>
      </c>
      <c r="F12" s="12" t="s">
        <v>153</v>
      </c>
      <c r="G12" s="10" t="n">
        <f aca="false">COUNTIF(モデル一覧!$D:$D,"Denza")</f>
        <v>1</v>
      </c>
      <c r="H12" s="15" t="s">
        <v>361</v>
      </c>
      <c r="I12" s="12"/>
    </row>
    <row r="13" customFormat="false" ht="29.85" hidden="false" customHeight="false" outlineLevel="0" collapsed="false">
      <c r="A13" s="11" t="s">
        <v>303</v>
      </c>
      <c r="B13" s="11" t="s">
        <v>363</v>
      </c>
      <c r="C13" s="12" t="s">
        <v>755</v>
      </c>
      <c r="D13" s="12" t="s">
        <v>756</v>
      </c>
      <c r="E13" s="11" t="s">
        <v>757</v>
      </c>
      <c r="F13" s="12" t="s">
        <v>83</v>
      </c>
      <c r="G13" s="10" t="n">
        <f aca="false">COUNTIF(モデル一覧!$D:$D,"Omoda")+COUNTIF(モデル一覧!$D:$D,"Jaecoo")</f>
        <v>5</v>
      </c>
      <c r="H13" s="15" t="s">
        <v>376</v>
      </c>
      <c r="I13" s="12"/>
    </row>
    <row r="14" customFormat="false" ht="15" hidden="false" customHeight="false" outlineLevel="0" collapsed="false">
      <c r="A14" s="11" t="s">
        <v>303</v>
      </c>
      <c r="B14" s="11" t="s">
        <v>363</v>
      </c>
      <c r="C14" s="12" t="s">
        <v>392</v>
      </c>
      <c r="D14" s="12" t="s">
        <v>758</v>
      </c>
      <c r="E14" s="11" t="s">
        <v>759</v>
      </c>
      <c r="F14" s="12" t="s">
        <v>99</v>
      </c>
      <c r="G14" s="10" t="n">
        <f aca="false">COUNTIF(モデル一覧!$D:$D,"Chery")</f>
        <v>2</v>
      </c>
      <c r="H14" s="15" t="s">
        <v>760</v>
      </c>
      <c r="I14" s="12"/>
    </row>
    <row r="15" customFormat="false" ht="15" hidden="false" customHeight="false" outlineLevel="0" collapsed="false">
      <c r="A15" s="11" t="s">
        <v>303</v>
      </c>
      <c r="B15" s="11" t="s">
        <v>363</v>
      </c>
      <c r="C15" s="12" t="s">
        <v>403</v>
      </c>
      <c r="D15" s="12" t="s">
        <v>761</v>
      </c>
      <c r="E15" s="11" t="s">
        <v>762</v>
      </c>
      <c r="F15" s="11" t="s">
        <v>763</v>
      </c>
      <c r="G15" s="10" t="n">
        <f aca="false">COUNTIF(モデル一覧!$D:$D,"Lepas")</f>
        <v>1</v>
      </c>
      <c r="H15" s="15" t="s">
        <v>406</v>
      </c>
      <c r="I15" s="12"/>
    </row>
    <row r="16" customFormat="false" ht="15" hidden="false" customHeight="false" outlineLevel="0" collapsed="false">
      <c r="A16" s="11" t="s">
        <v>303</v>
      </c>
      <c r="B16" s="11" t="s">
        <v>408</v>
      </c>
      <c r="C16" s="12" t="s">
        <v>764</v>
      </c>
      <c r="D16" s="12" t="s">
        <v>765</v>
      </c>
      <c r="E16" s="11" t="s">
        <v>766</v>
      </c>
      <c r="F16" s="12" t="s">
        <v>83</v>
      </c>
      <c r="G16" s="10" t="n">
        <f aca="false">COUNTIF(モデル一覧!$D:$D,"MG")+COUNTIF(モデル一覧!$D:$D,"IM（MGが販売）")</f>
        <v>15</v>
      </c>
      <c r="H16" s="12" t="s">
        <v>68</v>
      </c>
      <c r="I16" s="12"/>
    </row>
    <row r="17" customFormat="false" ht="29.85" hidden="false" customHeight="false" outlineLevel="0" collapsed="false">
      <c r="A17" s="11" t="s">
        <v>303</v>
      </c>
      <c r="B17" s="11" t="s">
        <v>483</v>
      </c>
      <c r="C17" s="12" t="s">
        <v>767</v>
      </c>
      <c r="D17" s="12" t="s">
        <v>768</v>
      </c>
      <c r="E17" s="11" t="s">
        <v>769</v>
      </c>
      <c r="F17" s="12" t="s">
        <v>83</v>
      </c>
      <c r="G17" s="10" t="n">
        <f aca="false">COUNTIF(モデル一覧!$D:$D,"GWM（Haval）")+COUNTIF(モデル一覧!$D:$D,"GWM（Ora）")+COUNTIF(モデル一覧!$D:$D,"GWM（Tank）")+COUNTIF(モデル一覧!$D:$D,"GWM（Wey）")+COUNTIF(モデル一覧!$D:$D,"GWM（Poer）")</f>
        <v>8</v>
      </c>
      <c r="H17" s="15" t="s">
        <v>506</v>
      </c>
      <c r="I17" s="12" t="s">
        <v>770</v>
      </c>
    </row>
    <row r="18" customFormat="false" ht="29.85" hidden="false" customHeight="false" outlineLevel="0" collapsed="false">
      <c r="A18" s="11" t="s">
        <v>303</v>
      </c>
      <c r="B18" s="11" t="s">
        <v>522</v>
      </c>
      <c r="C18" s="12" t="s">
        <v>771</v>
      </c>
      <c r="D18" s="12" t="s">
        <v>772</v>
      </c>
      <c r="E18" s="11" t="s">
        <v>752</v>
      </c>
      <c r="F18" s="12" t="s">
        <v>83</v>
      </c>
      <c r="G18" s="10" t="n">
        <f aca="false">COUNTIF(モデル一覧!$D:$D,"GAC Aion")+COUNTIF(モデル一覧!$D:$D,"GAC")</f>
        <v>6</v>
      </c>
      <c r="H18" s="15" t="s">
        <v>530</v>
      </c>
      <c r="I18" s="12"/>
    </row>
    <row r="19" customFormat="false" ht="29.85" hidden="false" customHeight="false" outlineLevel="0" collapsed="false">
      <c r="A19" s="11" t="s">
        <v>303</v>
      </c>
      <c r="B19" s="11" t="s">
        <v>452</v>
      </c>
      <c r="C19" s="12" t="s">
        <v>453</v>
      </c>
      <c r="D19" s="12" t="s">
        <v>773</v>
      </c>
      <c r="E19" s="11" t="s">
        <v>204</v>
      </c>
      <c r="F19" s="12" t="s">
        <v>83</v>
      </c>
      <c r="G19" s="10" t="n">
        <f aca="false">COUNTIF(モデル一覧!$D:$D,"Geely")</f>
        <v>2</v>
      </c>
      <c r="H19" s="15" t="s">
        <v>462</v>
      </c>
      <c r="I19" s="12"/>
    </row>
    <row r="20" customFormat="false" ht="15" hidden="false" customHeight="false" outlineLevel="0" collapsed="false">
      <c r="A20" s="11" t="s">
        <v>303</v>
      </c>
      <c r="B20" s="11" t="s">
        <v>452</v>
      </c>
      <c r="C20" s="12" t="s">
        <v>464</v>
      </c>
      <c r="D20" s="12" t="s">
        <v>774</v>
      </c>
      <c r="E20" s="11" t="s">
        <v>204</v>
      </c>
      <c r="F20" s="12" t="s">
        <v>106</v>
      </c>
      <c r="G20" s="10" t="n">
        <f aca="false">COUNTIF(モデル一覧!$D:$D,"Zeekr")</f>
        <v>3</v>
      </c>
      <c r="H20" s="15" t="s">
        <v>466</v>
      </c>
      <c r="I20" s="12"/>
    </row>
    <row r="21" customFormat="false" ht="15" hidden="false" customHeight="false" outlineLevel="0" collapsed="false">
      <c r="A21" s="11" t="s">
        <v>303</v>
      </c>
      <c r="B21" s="11" t="s">
        <v>452</v>
      </c>
      <c r="C21" s="12" t="s">
        <v>471</v>
      </c>
      <c r="D21" s="12" t="s">
        <v>775</v>
      </c>
      <c r="E21" s="11" t="s">
        <v>204</v>
      </c>
      <c r="F21" s="12" t="s">
        <v>106</v>
      </c>
      <c r="G21" s="10" t="n">
        <f aca="false">COUNTIF(モデル一覧!$D:$D,"Riddara")</f>
        <v>3</v>
      </c>
      <c r="H21" s="15" t="s">
        <v>475</v>
      </c>
      <c r="I21" s="12"/>
    </row>
    <row r="22" customFormat="false" ht="15" hidden="false" customHeight="false" outlineLevel="0" collapsed="false">
      <c r="A22" s="11" t="s">
        <v>303</v>
      </c>
      <c r="B22" s="11" t="s">
        <v>544</v>
      </c>
      <c r="C22" s="12" t="s">
        <v>545</v>
      </c>
      <c r="D22" s="12" t="s">
        <v>776</v>
      </c>
      <c r="E22" s="11" t="s">
        <v>777</v>
      </c>
      <c r="F22" s="12" t="s">
        <v>83</v>
      </c>
      <c r="G22" s="10" t="n">
        <f aca="false">COUNTIF(モデル一覧!$D:$D,"Deepal")</f>
        <v>4</v>
      </c>
      <c r="H22" s="15" t="s">
        <v>554</v>
      </c>
      <c r="I22" s="12"/>
    </row>
    <row r="23" customFormat="false" ht="15" hidden="false" customHeight="false" outlineLevel="0" collapsed="false">
      <c r="A23" s="11" t="s">
        <v>303</v>
      </c>
      <c r="B23" s="11" t="s">
        <v>544</v>
      </c>
      <c r="C23" s="12" t="s">
        <v>561</v>
      </c>
      <c r="D23" s="12" t="s">
        <v>778</v>
      </c>
      <c r="E23" s="11" t="s">
        <v>779</v>
      </c>
      <c r="F23" s="12" t="s">
        <v>106</v>
      </c>
      <c r="G23" s="10" t="n">
        <f aca="false">COUNTIF(モデル一覧!$D:$D,"Changan")</f>
        <v>2</v>
      </c>
      <c r="H23" s="15" t="s">
        <v>566</v>
      </c>
      <c r="I23" s="11" t="s">
        <v>780</v>
      </c>
    </row>
    <row r="24" customFormat="false" ht="15" hidden="false" customHeight="false" outlineLevel="0" collapsed="false">
      <c r="A24" s="11" t="s">
        <v>303</v>
      </c>
      <c r="B24" s="11" t="s">
        <v>544</v>
      </c>
      <c r="C24" s="12" t="s">
        <v>568</v>
      </c>
      <c r="D24" s="12" t="s">
        <v>781</v>
      </c>
      <c r="E24" s="12" t="s">
        <v>782</v>
      </c>
      <c r="F24" s="12" t="s">
        <v>153</v>
      </c>
      <c r="G24" s="10" t="n">
        <f aca="false">COUNTIF(モデル一覧!$D:$D,"Avatr")</f>
        <v>2</v>
      </c>
      <c r="H24" s="15" t="s">
        <v>572</v>
      </c>
      <c r="I24" s="12"/>
    </row>
    <row r="25" customFormat="false" ht="15" hidden="false" customHeight="false" outlineLevel="0" collapsed="false">
      <c r="A25" s="11" t="s">
        <v>303</v>
      </c>
      <c r="B25" s="11" t="s">
        <v>578</v>
      </c>
      <c r="C25" s="12" t="s">
        <v>579</v>
      </c>
      <c r="D25" s="12" t="s">
        <v>774</v>
      </c>
      <c r="E25" s="11" t="s">
        <v>204</v>
      </c>
      <c r="F25" s="12" t="s">
        <v>106</v>
      </c>
      <c r="G25" s="10" t="n">
        <f aca="false">COUNTIF(モデル一覧!$D:$D,"Xpeng")</f>
        <v>2</v>
      </c>
      <c r="H25" s="15" t="s">
        <v>783</v>
      </c>
      <c r="I25" s="12"/>
    </row>
    <row r="26" customFormat="false" ht="15" hidden="false" customHeight="false" outlineLevel="0" collapsed="false">
      <c r="A26" s="11" t="s">
        <v>303</v>
      </c>
      <c r="B26" s="11" t="s">
        <v>586</v>
      </c>
      <c r="C26" s="12" t="s">
        <v>587</v>
      </c>
      <c r="D26" s="12" t="s">
        <v>784</v>
      </c>
      <c r="E26" s="11" t="s">
        <v>204</v>
      </c>
      <c r="F26" s="12" t="s">
        <v>153</v>
      </c>
      <c r="G26" s="10" t="n">
        <f aca="false">COUNTIF(モデル一覧!$D:$D,"Leapmotor")</f>
        <v>2</v>
      </c>
      <c r="H26" s="12" t="s">
        <v>68</v>
      </c>
      <c r="I26" s="12"/>
    </row>
    <row r="27" customFormat="false" ht="29.85" hidden="false" customHeight="false" outlineLevel="0" collapsed="false">
      <c r="A27" s="11" t="s">
        <v>303</v>
      </c>
      <c r="B27" s="11" t="s">
        <v>592</v>
      </c>
      <c r="C27" s="12" t="s">
        <v>593</v>
      </c>
      <c r="D27" s="12" t="s">
        <v>785</v>
      </c>
      <c r="E27" s="11" t="s">
        <v>786</v>
      </c>
      <c r="F27" s="12" t="s">
        <v>106</v>
      </c>
      <c r="G27" s="10" t="n">
        <f aca="false">COUNTIF(モデル一覧!$D:$D,"Wuling")</f>
        <v>4</v>
      </c>
      <c r="H27" s="12" t="s">
        <v>68</v>
      </c>
      <c r="I27" s="12"/>
    </row>
    <row r="28" customFormat="false" ht="15" hidden="false" customHeight="false" outlineLevel="0" collapsed="false">
      <c r="A28" s="11" t="s">
        <v>303</v>
      </c>
      <c r="B28" s="11" t="s">
        <v>606</v>
      </c>
      <c r="C28" s="12" t="s">
        <v>607</v>
      </c>
      <c r="D28" s="12" t="s">
        <v>787</v>
      </c>
      <c r="E28" s="11" t="s">
        <v>788</v>
      </c>
      <c r="F28" s="12" t="s">
        <v>153</v>
      </c>
      <c r="G28" s="10" t="n">
        <f aca="false">COUNTIF(モデル一覧!$D:$D,"Neta")</f>
        <v>1</v>
      </c>
      <c r="H28" s="12" t="s">
        <v>68</v>
      </c>
      <c r="I28" s="11" t="s">
        <v>610</v>
      </c>
    </row>
    <row r="29" customFormat="false" ht="15" hidden="false" customHeight="false" outlineLevel="0" collapsed="false">
      <c r="A29" s="11" t="s">
        <v>611</v>
      </c>
      <c r="B29" s="11" t="s">
        <v>612</v>
      </c>
      <c r="C29" s="12" t="s">
        <v>613</v>
      </c>
      <c r="D29" s="11" t="s">
        <v>743</v>
      </c>
      <c r="E29" s="11" t="s">
        <v>789</v>
      </c>
      <c r="F29" s="12" t="s">
        <v>106</v>
      </c>
      <c r="G29" s="10" t="n">
        <f aca="false">COUNTIF(モデル一覧!$D:$D,"Hyundai")</f>
        <v>6</v>
      </c>
      <c r="H29" s="12" t="s">
        <v>68</v>
      </c>
      <c r="I29" s="12"/>
    </row>
    <row r="30" customFormat="false" ht="15" hidden="false" customHeight="false" outlineLevel="0" collapsed="false">
      <c r="A30" s="11" t="s">
        <v>611</v>
      </c>
      <c r="B30" s="11" t="s">
        <v>625</v>
      </c>
      <c r="C30" s="12" t="s">
        <v>626</v>
      </c>
      <c r="D30" s="11" t="s">
        <v>743</v>
      </c>
      <c r="E30" s="11" t="s">
        <v>259</v>
      </c>
      <c r="F30" s="12" t="s">
        <v>106</v>
      </c>
      <c r="G30" s="10" t="n">
        <f aca="false">COUNTIF(モデル一覧!$D:$D,"Kia")</f>
        <v>4</v>
      </c>
      <c r="H30" s="12" t="s">
        <v>68</v>
      </c>
      <c r="I30" s="12"/>
    </row>
    <row r="31" customFormat="false" ht="15" hidden="false" customHeight="false" outlineLevel="0" collapsed="false">
      <c r="A31" s="11" t="s">
        <v>633</v>
      </c>
      <c r="B31" s="11" t="s">
        <v>634</v>
      </c>
      <c r="C31" s="12" t="s">
        <v>635</v>
      </c>
      <c r="D31" s="11" t="s">
        <v>743</v>
      </c>
      <c r="E31" s="11" t="s">
        <v>779</v>
      </c>
      <c r="F31" s="12" t="s">
        <v>83</v>
      </c>
      <c r="G31" s="10" t="n">
        <f aca="false">COUNTIF(モデル一覧!$D:$D,"Ford")</f>
        <v>3</v>
      </c>
      <c r="H31" s="12" t="s">
        <v>68</v>
      </c>
      <c r="I31" s="12"/>
    </row>
    <row r="32" customFormat="false" ht="15" hidden="false" customHeight="false" outlineLevel="0" collapsed="false">
      <c r="A32" s="11" t="s">
        <v>633</v>
      </c>
      <c r="B32" s="11" t="s">
        <v>644</v>
      </c>
      <c r="C32" s="12" t="s">
        <v>645</v>
      </c>
      <c r="D32" s="12" t="s">
        <v>790</v>
      </c>
      <c r="E32" s="11" t="s">
        <v>204</v>
      </c>
      <c r="F32" s="12" t="s">
        <v>99</v>
      </c>
      <c r="G32" s="10" t="n">
        <f aca="false">COUNTIF(モデル一覧!$D:$D,"Tesla")</f>
        <v>2</v>
      </c>
      <c r="H32" s="12" t="s">
        <v>68</v>
      </c>
      <c r="I32" s="12"/>
    </row>
    <row r="33" customFormat="false" ht="15" hidden="false" customHeight="false" outlineLevel="0" collapsed="false">
      <c r="A33" s="11" t="s">
        <v>654</v>
      </c>
      <c r="B33" s="11" t="s">
        <v>655</v>
      </c>
      <c r="C33" s="12" t="s">
        <v>656</v>
      </c>
      <c r="D33" s="11" t="s">
        <v>743</v>
      </c>
      <c r="E33" s="11" t="s">
        <v>791</v>
      </c>
      <c r="F33" s="12" t="s">
        <v>106</v>
      </c>
      <c r="G33" s="10" t="n">
        <f aca="false">COUNTIF(モデル一覧!$D:$D,"Mercedes-Benz")</f>
        <v>17</v>
      </c>
      <c r="H33" s="12" t="s">
        <v>68</v>
      </c>
      <c r="I33" s="12"/>
    </row>
    <row r="34" customFormat="false" ht="15" hidden="false" customHeight="false" outlineLevel="0" collapsed="false">
      <c r="A34" s="11" t="s">
        <v>654</v>
      </c>
      <c r="B34" s="12" t="s">
        <v>682</v>
      </c>
      <c r="C34" s="12" t="s">
        <v>682</v>
      </c>
      <c r="D34" s="11" t="s">
        <v>743</v>
      </c>
      <c r="E34" s="11" t="s">
        <v>792</v>
      </c>
      <c r="F34" s="12" t="s">
        <v>99</v>
      </c>
      <c r="G34" s="10" t="n">
        <f aca="false">COUNTIF(モデル一覧!$D:$D,"BMW")</f>
        <v>16</v>
      </c>
      <c r="H34" s="12" t="s">
        <v>68</v>
      </c>
      <c r="I34" s="12"/>
    </row>
    <row r="35" customFormat="false" ht="15" hidden="false" customHeight="false" outlineLevel="0" collapsed="false">
      <c r="A35" s="11" t="s">
        <v>654</v>
      </c>
      <c r="B35" s="12" t="s">
        <v>682</v>
      </c>
      <c r="C35" s="12" t="s">
        <v>706</v>
      </c>
      <c r="D35" s="11" t="s">
        <v>743</v>
      </c>
      <c r="E35" s="11" t="s">
        <v>259</v>
      </c>
      <c r="F35" s="12" t="s">
        <v>106</v>
      </c>
      <c r="G35" s="10" t="n">
        <f aca="false">COUNTIF(モデル一覧!$D:$D,"MINI")</f>
        <v>3</v>
      </c>
      <c r="H35" s="12" t="s">
        <v>68</v>
      </c>
      <c r="I35" s="12"/>
    </row>
    <row r="36" customFormat="false" ht="15" hidden="false" customHeight="false" outlineLevel="0" collapsed="false">
      <c r="A36" s="11" t="s">
        <v>654</v>
      </c>
      <c r="B36" s="11" t="s">
        <v>713</v>
      </c>
      <c r="C36" s="12" t="s">
        <v>714</v>
      </c>
      <c r="D36" s="11" t="s">
        <v>743</v>
      </c>
      <c r="E36" s="11" t="s">
        <v>791</v>
      </c>
      <c r="F36" s="12" t="s">
        <v>106</v>
      </c>
      <c r="G36" s="10" t="n">
        <f aca="false">COUNTIF(モデル一覧!$D:$D,"Volvo")</f>
        <v>6</v>
      </c>
      <c r="H36" s="12" t="s">
        <v>68</v>
      </c>
      <c r="I36" s="11" t="s">
        <v>793</v>
      </c>
    </row>
    <row r="37" customFormat="false" ht="15" hidden="false" customHeight="false" outlineLevel="0" collapsed="false">
      <c r="A37" s="11" t="s">
        <v>654</v>
      </c>
      <c r="B37" s="11" t="s">
        <v>794</v>
      </c>
      <c r="C37" s="12" t="s">
        <v>724</v>
      </c>
      <c r="D37" s="11" t="s">
        <v>743</v>
      </c>
      <c r="E37" s="11" t="s">
        <v>791</v>
      </c>
      <c r="F37" s="12" t="s">
        <v>106</v>
      </c>
      <c r="G37" s="10" t="n">
        <f aca="false">COUNTIF(モデル一覧!$D:$D,"Porsche")</f>
        <v>6</v>
      </c>
      <c r="H37" s="12" t="s">
        <v>68</v>
      </c>
      <c r="I37" s="12"/>
    </row>
    <row r="38" customFormat="false" ht="15" hidden="false" customHeight="false" outlineLevel="0" collapsed="false">
      <c r="A38" s="11" t="s">
        <v>654</v>
      </c>
      <c r="B38" s="11" t="s">
        <v>794</v>
      </c>
      <c r="C38" s="12" t="s">
        <v>735</v>
      </c>
      <c r="D38" s="11" t="s">
        <v>743</v>
      </c>
      <c r="E38" s="11" t="s">
        <v>259</v>
      </c>
      <c r="F38" s="12" t="s">
        <v>153</v>
      </c>
      <c r="G38" s="10" t="n">
        <f aca="false">COUNTIF(モデル一覧!$D:$D,"Audi")</f>
        <v>2</v>
      </c>
      <c r="H38" s="12" t="s">
        <v>68</v>
      </c>
      <c r="I38" s="12"/>
    </row>
    <row r="39" customFormat="false" ht="15" hidden="false" customHeight="false" outlineLevel="0" collapsed="false">
      <c r="A39" s="11" t="s">
        <v>303</v>
      </c>
      <c r="B39" s="11" t="s">
        <v>795</v>
      </c>
      <c r="C39" s="12" t="s">
        <v>796</v>
      </c>
      <c r="D39" s="12" t="s">
        <v>797</v>
      </c>
      <c r="E39" s="11" t="s">
        <v>204</v>
      </c>
      <c r="F39" s="12" t="s">
        <v>164</v>
      </c>
      <c r="G39" s="10" t="n">
        <v>0</v>
      </c>
      <c r="H39" s="12" t="s">
        <v>68</v>
      </c>
      <c r="I39" s="11" t="s">
        <v>798</v>
      </c>
    </row>
    <row r="40" customFormat="false" ht="26.85" hidden="false" customHeight="false" outlineLevel="0" collapsed="false">
      <c r="A40" s="11" t="s">
        <v>654</v>
      </c>
      <c r="B40" s="12" t="s">
        <v>68</v>
      </c>
      <c r="C40" s="12" t="s">
        <v>799</v>
      </c>
      <c r="D40" s="11" t="s">
        <v>743</v>
      </c>
      <c r="E40" s="11" t="s">
        <v>259</v>
      </c>
      <c r="F40" s="12" t="s">
        <v>164</v>
      </c>
      <c r="G40" s="10" t="n">
        <v>0</v>
      </c>
      <c r="H40" s="12" t="s">
        <v>68</v>
      </c>
      <c r="I40" s="11" t="s">
        <v>800</v>
      </c>
    </row>
    <row r="41" customFormat="false" ht="15" hidden="false" customHeight="false" outlineLevel="0" collapsed="false">
      <c r="A41" s="11" t="s">
        <v>633</v>
      </c>
      <c r="B41" s="12" t="s">
        <v>801</v>
      </c>
      <c r="C41" s="12" t="s">
        <v>802</v>
      </c>
      <c r="D41" s="12" t="s">
        <v>68</v>
      </c>
      <c r="E41" s="12" t="s">
        <v>68</v>
      </c>
      <c r="F41" s="12" t="s">
        <v>164</v>
      </c>
      <c r="G41" s="10" t="n">
        <v>0</v>
      </c>
      <c r="H41" s="12" t="s">
        <v>68</v>
      </c>
      <c r="I41" s="11" t="s">
        <v>803</v>
      </c>
    </row>
    <row r="42" customFormat="false" ht="15" hidden="false" customHeight="false" outlineLevel="0" collapsed="false">
      <c r="A42" s="11" t="s">
        <v>303</v>
      </c>
      <c r="B42" s="12" t="s">
        <v>68</v>
      </c>
      <c r="C42" s="12" t="s">
        <v>804</v>
      </c>
      <c r="D42" s="12" t="s">
        <v>68</v>
      </c>
      <c r="E42" s="12" t="s">
        <v>68</v>
      </c>
      <c r="F42" s="12" t="s">
        <v>68</v>
      </c>
      <c r="G42" s="10" t="n">
        <v>0</v>
      </c>
      <c r="H42" s="12" t="s">
        <v>68</v>
      </c>
      <c r="I42" s="11" t="s">
        <v>805</v>
      </c>
    </row>
    <row r="43" customFormat="false" ht="72.35" hidden="false" customHeight="false" outlineLevel="0" collapsed="false">
      <c r="A43" s="12" t="s">
        <v>68</v>
      </c>
      <c r="B43" s="12" t="s">
        <v>68</v>
      </c>
      <c r="C43" s="11" t="s">
        <v>806</v>
      </c>
      <c r="D43" s="12" t="s">
        <v>68</v>
      </c>
      <c r="E43" s="11" t="s">
        <v>259</v>
      </c>
      <c r="F43" s="12" t="s">
        <v>164</v>
      </c>
      <c r="G43" s="10" t="n">
        <v>0</v>
      </c>
      <c r="H43" s="12" t="s">
        <v>68</v>
      </c>
      <c r="I43" s="11" t="s">
        <v>807</v>
      </c>
    </row>
    <row r="44" customFormat="false" ht="29.85" hidden="false" customHeight="false" outlineLevel="0" collapsed="false">
      <c r="A44" s="12" t="s">
        <v>68</v>
      </c>
      <c r="B44" s="12" t="s">
        <v>68</v>
      </c>
      <c r="C44" s="11" t="s">
        <v>808</v>
      </c>
      <c r="D44" s="12" t="s">
        <v>68</v>
      </c>
      <c r="E44" s="12" t="s">
        <v>68</v>
      </c>
      <c r="F44" s="12" t="s">
        <v>68</v>
      </c>
      <c r="G44" s="10" t="n">
        <v>0</v>
      </c>
      <c r="H44" s="12" t="s">
        <v>68</v>
      </c>
      <c r="I44" s="11" t="s">
        <v>807</v>
      </c>
    </row>
    <row r="45" customFormat="false" ht="44" hidden="false" customHeight="false" outlineLevel="0" collapsed="false">
      <c r="A45" s="12" t="s">
        <v>68</v>
      </c>
      <c r="B45" s="12" t="s">
        <v>68</v>
      </c>
      <c r="C45" s="11" t="s">
        <v>809</v>
      </c>
      <c r="D45" s="12" t="s">
        <v>68</v>
      </c>
      <c r="E45" s="12" t="s">
        <v>68</v>
      </c>
      <c r="F45" s="12" t="s">
        <v>164</v>
      </c>
      <c r="G45" s="10" t="n">
        <v>0</v>
      </c>
      <c r="H45" s="12" t="s">
        <v>68</v>
      </c>
      <c r="I45" s="11" t="s">
        <v>807</v>
      </c>
    </row>
  </sheetData>
  <autoFilter ref="A1:I45"/>
  <hyperlinks>
    <hyperlink ref="H11" r:id="rId1" display="https://cnevpost.com/2026/07/14/byd-thailand-deliveries-130000-local-plant-2nd-anniversary/"/>
    <hyperlink ref="H12" r:id="rId2" display="https://carnewschina.com/2024/11/03/byds-denza-officially-entered-thailand-will-launch-denza-d9-premium-mpv/"/>
    <hyperlink ref="H13" r:id="rId3" display="https://proliance.co.th/?p=1958"/>
    <hyperlink ref="H14" r:id="rId4" display="https://www.electrive.com/2026/07/13/thailand-chery-starts-locally-assembling-the-v23/"/>
    <hyperlink ref="H15" r:id="rId5" display="https://www.marklines.com/en/news/348181"/>
    <hyperlink ref="H17" r:id="rId6" display="https://cnevpost.com/2021/10/19/great-wall-motor-says-ora-good-cat-gets-over-6000-orders-within-48-hours-of-pre-sale-in-thailand"/>
    <hyperlink ref="H18" r:id="rId7" display="https://autonews.gasgoo.com/china_news/70035792.html"/>
    <hyperlink ref="H19" r:id="rId8" display="https://wapcar.my/news/geely-breaking-its-promise-to-make-malaysia-its-rhd-hub-launches-chinamade-geely-ex5-in-thailand-83033"/>
    <hyperlink ref="H20" r:id="rId9" display="https://cnevpost.com/2025/08/19/zeekr-launches-7x-thailand/"/>
    <hyperlink ref="H21" r:id="rId10" display="https://autobuzz.my/2024/11/01/land-of-smiles-gets-its-first-electric-pickup-truck-with-the-launch-of-the-riddara-rd6-in-thailand/"/>
    <hyperlink ref="H22" r:id="rId11" display="https://cnevpost.com/2023/11/30/deepal-starts-selling-2-ev-models-thailand/"/>
    <hyperlink ref="H23" r:id="rId12" display="https://carnewschina.com/2026/05/29/changans-atto-2-rival-nevo-q05-launches-in-thailand-starting-from-19400-usd/"/>
    <hyperlink ref="H24" r:id="rId13" display="https://cnevpost.com/2026/01/28/avatr-rolls-off-1st-right-hand-drive-07-suvs/"/>
    <hyperlink ref="H25" r:id="rId14" display="https://paultan.org/tags/xpeng-g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3" min="11" style="0" width="13"/>
    <col collapsed="false" customWidth="true" hidden="false" outlineLevel="0" max="14" min="14" style="0" width="30"/>
    <col collapsed="false" customWidth="true" hidden="false" outlineLevel="0" max="15" min="15" style="0" width="11"/>
    <col collapsed="false" customWidth="true" hidden="false" outlineLevel="0" max="16" min="16" style="0" width="44"/>
  </cols>
  <sheetData>
    <row r="1" customFormat="false" ht="19.4" hidden="false" customHeight="false" outlineLevel="0" collapsed="false">
      <c r="A1" s="17" t="s">
        <v>810</v>
      </c>
    </row>
    <row r="2" customFormat="false" ht="15" hidden="false" customHeight="false" outlineLevel="0" collapsed="false">
      <c r="A2" s="18" t="s">
        <v>811</v>
      </c>
    </row>
    <row r="3" customFormat="false" ht="15" hidden="false" customHeight="false" outlineLevel="0" collapsed="false">
      <c r="A3" s="18" t="s">
        <v>812</v>
      </c>
    </row>
    <row r="5" customFormat="false" ht="45.75" hidden="false" customHeight="true" outlineLevel="0" collapsed="false">
      <c r="A5" s="8" t="s">
        <v>813</v>
      </c>
      <c r="B5" s="8" t="s">
        <v>814</v>
      </c>
      <c r="C5" s="8" t="s">
        <v>815</v>
      </c>
      <c r="D5" s="9" t="s">
        <v>816</v>
      </c>
      <c r="E5" s="9" t="s">
        <v>817</v>
      </c>
      <c r="F5" s="8" t="s">
        <v>818</v>
      </c>
      <c r="G5" s="8" t="s">
        <v>819</v>
      </c>
      <c r="H5" s="8" t="s">
        <v>820</v>
      </c>
      <c r="I5" s="9" t="s">
        <v>821</v>
      </c>
      <c r="J5" s="9" t="s">
        <v>822</v>
      </c>
      <c r="K5" s="9" t="s">
        <v>823</v>
      </c>
      <c r="L5" s="9" t="s">
        <v>824</v>
      </c>
      <c r="M5" s="9" t="s">
        <v>825</v>
      </c>
      <c r="N5" s="9" t="s">
        <v>826</v>
      </c>
      <c r="O5" s="9" t="s">
        <v>827</v>
      </c>
      <c r="P5" s="9" t="s">
        <v>828</v>
      </c>
    </row>
    <row r="6" customFormat="false" ht="15" hidden="false" customHeight="false" outlineLevel="0" collapsed="false">
      <c r="A6" s="19" t="s">
        <v>829</v>
      </c>
      <c r="B6" s="19" t="s">
        <v>830</v>
      </c>
      <c r="C6" s="19" t="s">
        <v>831</v>
      </c>
      <c r="D6" s="20" t="n">
        <v>4</v>
      </c>
      <c r="E6" s="21" t="s">
        <v>832</v>
      </c>
      <c r="F6" s="22" t="n">
        <v>44805</v>
      </c>
      <c r="G6" s="22" t="n">
        <v>44713</v>
      </c>
      <c r="H6" s="21" t="s">
        <v>833</v>
      </c>
      <c r="I6" s="23" t="str">
        <f aca="false">IF($D6="","",IFERROR(INDEX(モデル一覧!$D:$D,MATCH($D6,モデル一覧!$A:$A,0)),"IDなし"))</f>
        <v>Toyota</v>
      </c>
      <c r="J6" s="23" t="str">
        <f aca="false">IF($D6="","",IFERROR(INDEX(モデル一覧!$E:$E,MATCH($D6,モデル一覧!$A:$A,0)),"IDなし"))</f>
        <v>Yaris Ativ</v>
      </c>
      <c r="K6" s="24" t="n">
        <f aca="false">IF($D6="","",IFERROR(IF(INDEX(モデル一覧!$L:$L,MATCH($D6,モデル一覧!$A:$A,0))="","",DATE(INDEX(モデル一覧!$K:$K,MATCH($D6,モデル一覧!$A:$A,0)),INDEX(モデル一覧!$L:$L,MATCH($D6,モデル一覧!$A:$A,0)),1)),""))</f>
        <v>44774</v>
      </c>
      <c r="L6" s="25" t="n">
        <f aca="false">IF(OR($F6="",$G6=""),"",(YEAR($F6)-YEAR($G6))*12+MONTH($F6)-MONTH($G6))</f>
        <v>3</v>
      </c>
      <c r="M6" s="25" t="n">
        <f aca="false">IF(OR($F6="",$K6=""),"",(YEAR($F6)-YEAR($K6))*12+MONTH($F6)-MONTH($K6))</f>
        <v>1</v>
      </c>
      <c r="N6" s="23" t="str">
        <f aca="false">IF($L6="","",IF(ABS($L6)&lt;=3,"整合",IF($L6&gt;3,"S&amp;P先行：SOP・生産国・世代を確認","ML先行：旧世代込み・先行登録を確認")))</f>
        <v>整合</v>
      </c>
      <c r="O6" s="22" t="n">
        <v>44774</v>
      </c>
      <c r="P6" s="19" t="s">
        <v>834</v>
      </c>
    </row>
    <row r="7" customFormat="false" ht="15" hidden="false" customHeight="false" outlineLevel="0" collapsed="false">
      <c r="A7" s="19"/>
      <c r="B7" s="19"/>
      <c r="C7" s="19"/>
      <c r="D7" s="20"/>
      <c r="E7" s="21"/>
      <c r="F7" s="22"/>
      <c r="G7" s="22"/>
      <c r="H7" s="21"/>
      <c r="I7" s="23" t="str">
        <f aca="false">IF($D7="","",IFERROR(INDEX(モデル一覧!$D:$D,MATCH($D7,モデル一覧!$A:$A,0)),"IDなし"))</f>
        <v/>
      </c>
      <c r="J7" s="23" t="str">
        <f aca="false">IF($D7="","",IFERROR(INDEX(モデル一覧!$E:$E,MATCH($D7,モデル一覧!$A:$A,0)),"IDなし"))</f>
        <v/>
      </c>
      <c r="K7" s="24" t="str">
        <f aca="false">IF($D7="","",IFERROR(IF(INDEX(モデル一覧!$L:$L,MATCH($D7,モデル一覧!$A:$A,0))="","",DATE(INDEX(モデル一覧!$K:$K,MATCH($D7,モデル一覧!$A:$A,0)),INDEX(モデル一覧!$L:$L,MATCH($D7,モデル一覧!$A:$A,0)),1)),""))</f>
        <v/>
      </c>
      <c r="L7" s="25" t="str">
        <f aca="false">IF(OR($F7="",$G7=""),"",(YEAR($F7)-YEAR($G7))*12+MONTH($F7)-MONTH($G7))</f>
        <v/>
      </c>
      <c r="M7" s="25" t="str">
        <f aca="false">IF(OR($F7="",$K7=""),"",(YEAR($F7)-YEAR($K7))*12+MONTH($F7)-MONTH($K7))</f>
        <v/>
      </c>
      <c r="N7" s="23" t="str">
        <f aca="false">IF($L7="","",IF(ABS($L7)&lt;=3,"整合",IF($L7&gt;3,"S&amp;P先行：SOP・生産国・世代を確認","ML先行：旧世代込み・先行登録を確認")))</f>
        <v/>
      </c>
      <c r="O7" s="22"/>
      <c r="P7" s="19"/>
    </row>
    <row r="8" customFormat="false" ht="15" hidden="false" customHeight="false" outlineLevel="0" collapsed="false">
      <c r="A8" s="19"/>
      <c r="B8" s="19"/>
      <c r="C8" s="19"/>
      <c r="D8" s="20"/>
      <c r="E8" s="21"/>
      <c r="F8" s="22"/>
      <c r="G8" s="22"/>
      <c r="H8" s="21"/>
      <c r="I8" s="23" t="str">
        <f aca="false">IF($D8="","",IFERROR(INDEX(モデル一覧!$D:$D,MATCH($D8,モデル一覧!$A:$A,0)),"IDなし"))</f>
        <v/>
      </c>
      <c r="J8" s="23" t="str">
        <f aca="false">IF($D8="","",IFERROR(INDEX(モデル一覧!$E:$E,MATCH($D8,モデル一覧!$A:$A,0)),"IDなし"))</f>
        <v/>
      </c>
      <c r="K8" s="24" t="str">
        <f aca="false">IF($D8="","",IFERROR(IF(INDEX(モデル一覧!$L:$L,MATCH($D8,モデル一覧!$A:$A,0))="","",DATE(INDEX(モデル一覧!$K:$K,MATCH($D8,モデル一覧!$A:$A,0)),INDEX(モデル一覧!$L:$L,MATCH($D8,モデル一覧!$A:$A,0)),1)),""))</f>
        <v/>
      </c>
      <c r="L8" s="25" t="str">
        <f aca="false">IF(OR($F8="",$G8=""),"",(YEAR($F8)-YEAR($G8))*12+MONTH($F8)-MONTH($G8))</f>
        <v/>
      </c>
      <c r="M8" s="25" t="str">
        <f aca="false">IF(OR($F8="",$K8=""),"",(YEAR($F8)-YEAR($K8))*12+MONTH($F8)-MONTH($K8))</f>
        <v/>
      </c>
      <c r="N8" s="23" t="str">
        <f aca="false">IF($L8="","",IF(ABS($L8)&lt;=3,"整合",IF($L8&gt;3,"S&amp;P先行：SOP・生産国・世代を確認","ML先行：旧世代込み・先行登録を確認")))</f>
        <v/>
      </c>
      <c r="O8" s="22"/>
      <c r="P8" s="19"/>
    </row>
    <row r="9" customFormat="false" ht="15" hidden="false" customHeight="false" outlineLevel="0" collapsed="false">
      <c r="A9" s="19"/>
      <c r="B9" s="19"/>
      <c r="C9" s="19"/>
      <c r="D9" s="20"/>
      <c r="E9" s="21"/>
      <c r="F9" s="22"/>
      <c r="G9" s="22"/>
      <c r="H9" s="21"/>
      <c r="I9" s="23" t="str">
        <f aca="false">IF($D9="","",IFERROR(INDEX(モデル一覧!$D:$D,MATCH($D9,モデル一覧!$A:$A,0)),"IDなし"))</f>
        <v/>
      </c>
      <c r="J9" s="23" t="str">
        <f aca="false">IF($D9="","",IFERROR(INDEX(モデル一覧!$E:$E,MATCH($D9,モデル一覧!$A:$A,0)),"IDなし"))</f>
        <v/>
      </c>
      <c r="K9" s="24" t="str">
        <f aca="false">IF($D9="","",IFERROR(IF(INDEX(モデル一覧!$L:$L,MATCH($D9,モデル一覧!$A:$A,0))="","",DATE(INDEX(モデル一覧!$K:$K,MATCH($D9,モデル一覧!$A:$A,0)),INDEX(モデル一覧!$L:$L,MATCH($D9,モデル一覧!$A:$A,0)),1)),""))</f>
        <v/>
      </c>
      <c r="L9" s="25" t="str">
        <f aca="false">IF(OR($F9="",$G9=""),"",(YEAR($F9)-YEAR($G9))*12+MONTH($F9)-MONTH($G9))</f>
        <v/>
      </c>
      <c r="M9" s="25" t="str">
        <f aca="false">IF(OR($F9="",$K9=""),"",(YEAR($F9)-YEAR($K9))*12+MONTH($F9)-MONTH($K9))</f>
        <v/>
      </c>
      <c r="N9" s="23" t="str">
        <f aca="false">IF($L9="","",IF(ABS($L9)&lt;=3,"整合",IF($L9&gt;3,"S&amp;P先行：SOP・生産国・世代を確認","ML先行：旧世代込み・先行登録を確認")))</f>
        <v/>
      </c>
      <c r="O9" s="22"/>
      <c r="P9" s="19"/>
    </row>
    <row r="10" customFormat="false" ht="15" hidden="false" customHeight="false" outlineLevel="0" collapsed="false">
      <c r="A10" s="19"/>
      <c r="B10" s="19"/>
      <c r="C10" s="19"/>
      <c r="D10" s="20"/>
      <c r="E10" s="21"/>
      <c r="F10" s="22"/>
      <c r="G10" s="22"/>
      <c r="H10" s="21"/>
      <c r="I10" s="23" t="str">
        <f aca="false">IF($D10="","",IFERROR(INDEX(モデル一覧!$D:$D,MATCH($D10,モデル一覧!$A:$A,0)),"IDなし"))</f>
        <v/>
      </c>
      <c r="J10" s="23" t="str">
        <f aca="false">IF($D10="","",IFERROR(INDEX(モデル一覧!$E:$E,MATCH($D10,モデル一覧!$A:$A,0)),"IDなし"))</f>
        <v/>
      </c>
      <c r="K10" s="24" t="str">
        <f aca="false">IF($D10="","",IFERROR(IF(INDEX(モデル一覧!$L:$L,MATCH($D10,モデル一覧!$A:$A,0))="","",DATE(INDEX(モデル一覧!$K:$K,MATCH($D10,モデル一覧!$A:$A,0)),INDEX(モデル一覧!$L:$L,MATCH($D10,モデル一覧!$A:$A,0)),1)),""))</f>
        <v/>
      </c>
      <c r="L10" s="25" t="str">
        <f aca="false">IF(OR($F10="",$G10=""),"",(YEAR($F10)-YEAR($G10))*12+MONTH($F10)-MONTH($G10))</f>
        <v/>
      </c>
      <c r="M10" s="25" t="str">
        <f aca="false">IF(OR($F10="",$K10=""),"",(YEAR($F10)-YEAR($K10))*12+MONTH($F10)-MONTH($K10))</f>
        <v/>
      </c>
      <c r="N10" s="23" t="str">
        <f aca="false">IF($L10="","",IF(ABS($L10)&lt;=3,"整合",IF($L10&gt;3,"S&amp;P先行：SOP・生産国・世代を確認","ML先行：旧世代込み・先行登録を確認")))</f>
        <v/>
      </c>
      <c r="O10" s="22"/>
      <c r="P10" s="19"/>
    </row>
    <row r="11" customFormat="false" ht="15" hidden="false" customHeight="false" outlineLevel="0" collapsed="false">
      <c r="A11" s="19"/>
      <c r="B11" s="19"/>
      <c r="C11" s="19"/>
      <c r="D11" s="20"/>
      <c r="E11" s="21"/>
      <c r="F11" s="22"/>
      <c r="G11" s="22"/>
      <c r="H11" s="21"/>
      <c r="I11" s="23" t="str">
        <f aca="false">IF($D11="","",IFERROR(INDEX(モデル一覧!$D:$D,MATCH($D11,モデル一覧!$A:$A,0)),"IDなし"))</f>
        <v/>
      </c>
      <c r="J11" s="23" t="str">
        <f aca="false">IF($D11="","",IFERROR(INDEX(モデル一覧!$E:$E,MATCH($D11,モデル一覧!$A:$A,0)),"IDなし"))</f>
        <v/>
      </c>
      <c r="K11" s="24" t="str">
        <f aca="false">IF($D11="","",IFERROR(IF(INDEX(モデル一覧!$L:$L,MATCH($D11,モデル一覧!$A:$A,0))="","",DATE(INDEX(モデル一覧!$K:$K,MATCH($D11,モデル一覧!$A:$A,0)),INDEX(モデル一覧!$L:$L,MATCH($D11,モデル一覧!$A:$A,0)),1)),""))</f>
        <v/>
      </c>
      <c r="L11" s="25" t="str">
        <f aca="false">IF(OR($F11="",$G11=""),"",(YEAR($F11)-YEAR($G11))*12+MONTH($F11)-MONTH($G11))</f>
        <v/>
      </c>
      <c r="M11" s="25" t="str">
        <f aca="false">IF(OR($F11="",$K11=""),"",(YEAR($F11)-YEAR($K11))*12+MONTH($F11)-MONTH($K11))</f>
        <v/>
      </c>
      <c r="N11" s="23" t="str">
        <f aca="false">IF($L11="","",IF(ABS($L11)&lt;=3,"整合",IF($L11&gt;3,"S&amp;P先行：SOP・生産国・世代を確認","ML先行：旧世代込み・先行登録を確認")))</f>
        <v/>
      </c>
      <c r="O11" s="22"/>
      <c r="P11" s="19"/>
    </row>
    <row r="12" customFormat="false" ht="15" hidden="false" customHeight="false" outlineLevel="0" collapsed="false">
      <c r="A12" s="19"/>
      <c r="B12" s="19"/>
      <c r="C12" s="19"/>
      <c r="D12" s="20"/>
      <c r="E12" s="21"/>
      <c r="F12" s="22"/>
      <c r="G12" s="22"/>
      <c r="H12" s="21"/>
      <c r="I12" s="23" t="str">
        <f aca="false">IF($D12="","",IFERROR(INDEX(モデル一覧!$D:$D,MATCH($D12,モデル一覧!$A:$A,0)),"IDなし"))</f>
        <v/>
      </c>
      <c r="J12" s="23" t="str">
        <f aca="false">IF($D12="","",IFERROR(INDEX(モデル一覧!$E:$E,MATCH($D12,モデル一覧!$A:$A,0)),"IDなし"))</f>
        <v/>
      </c>
      <c r="K12" s="24" t="str">
        <f aca="false">IF($D12="","",IFERROR(IF(INDEX(モデル一覧!$L:$L,MATCH($D12,モデル一覧!$A:$A,0))="","",DATE(INDEX(モデル一覧!$K:$K,MATCH($D12,モデル一覧!$A:$A,0)),INDEX(モデル一覧!$L:$L,MATCH($D12,モデル一覧!$A:$A,0)),1)),""))</f>
        <v/>
      </c>
      <c r="L12" s="25" t="str">
        <f aca="false">IF(OR($F12="",$G12=""),"",(YEAR($F12)-YEAR($G12))*12+MONTH($F12)-MONTH($G12))</f>
        <v/>
      </c>
      <c r="M12" s="25" t="str">
        <f aca="false">IF(OR($F12="",$K12=""),"",(YEAR($F12)-YEAR($K12))*12+MONTH($F12)-MONTH($K12))</f>
        <v/>
      </c>
      <c r="N12" s="23" t="str">
        <f aca="false">IF($L12="","",IF(ABS($L12)&lt;=3,"整合",IF($L12&gt;3,"S&amp;P先行：SOP・生産国・世代を確認","ML先行：旧世代込み・先行登録を確認")))</f>
        <v/>
      </c>
      <c r="O12" s="22"/>
      <c r="P12" s="19"/>
    </row>
    <row r="13" customFormat="false" ht="15" hidden="false" customHeight="false" outlineLevel="0" collapsed="false">
      <c r="A13" s="19"/>
      <c r="B13" s="19"/>
      <c r="C13" s="19"/>
      <c r="D13" s="20"/>
      <c r="E13" s="21"/>
      <c r="F13" s="22"/>
      <c r="G13" s="22"/>
      <c r="H13" s="21"/>
      <c r="I13" s="23" t="str">
        <f aca="false">IF($D13="","",IFERROR(INDEX(モデル一覧!$D:$D,MATCH($D13,モデル一覧!$A:$A,0)),"IDなし"))</f>
        <v/>
      </c>
      <c r="J13" s="23" t="str">
        <f aca="false">IF($D13="","",IFERROR(INDEX(モデル一覧!$E:$E,MATCH($D13,モデル一覧!$A:$A,0)),"IDなし"))</f>
        <v/>
      </c>
      <c r="K13" s="24" t="str">
        <f aca="false">IF($D13="","",IFERROR(IF(INDEX(モデル一覧!$L:$L,MATCH($D13,モデル一覧!$A:$A,0))="","",DATE(INDEX(モデル一覧!$K:$K,MATCH($D13,モデル一覧!$A:$A,0)),INDEX(モデル一覧!$L:$L,MATCH($D13,モデル一覧!$A:$A,0)),1)),""))</f>
        <v/>
      </c>
      <c r="L13" s="25" t="str">
        <f aca="false">IF(OR($F13="",$G13=""),"",(YEAR($F13)-YEAR($G13))*12+MONTH($F13)-MONTH($G13))</f>
        <v/>
      </c>
      <c r="M13" s="25" t="str">
        <f aca="false">IF(OR($F13="",$K13=""),"",(YEAR($F13)-YEAR($K13))*12+MONTH($F13)-MONTH($K13))</f>
        <v/>
      </c>
      <c r="N13" s="23" t="str">
        <f aca="false">IF($L13="","",IF(ABS($L13)&lt;=3,"整合",IF($L13&gt;3,"S&amp;P先行：SOP・生産国・世代を確認","ML先行：旧世代込み・先行登録を確認")))</f>
        <v/>
      </c>
      <c r="O13" s="22"/>
      <c r="P13" s="19"/>
    </row>
    <row r="14" customFormat="false" ht="15" hidden="false" customHeight="false" outlineLevel="0" collapsed="false">
      <c r="A14" s="19"/>
      <c r="B14" s="19"/>
      <c r="C14" s="19"/>
      <c r="D14" s="20"/>
      <c r="E14" s="21"/>
      <c r="F14" s="22"/>
      <c r="G14" s="22"/>
      <c r="H14" s="21"/>
      <c r="I14" s="23" t="str">
        <f aca="false">IF($D14="","",IFERROR(INDEX(モデル一覧!$D:$D,MATCH($D14,モデル一覧!$A:$A,0)),"IDなし"))</f>
        <v/>
      </c>
      <c r="J14" s="23" t="str">
        <f aca="false">IF($D14="","",IFERROR(INDEX(モデル一覧!$E:$E,MATCH($D14,モデル一覧!$A:$A,0)),"IDなし"))</f>
        <v/>
      </c>
      <c r="K14" s="24" t="str">
        <f aca="false">IF($D14="","",IFERROR(IF(INDEX(モデル一覧!$L:$L,MATCH($D14,モデル一覧!$A:$A,0))="","",DATE(INDEX(モデル一覧!$K:$K,MATCH($D14,モデル一覧!$A:$A,0)),INDEX(モデル一覧!$L:$L,MATCH($D14,モデル一覧!$A:$A,0)),1)),""))</f>
        <v/>
      </c>
      <c r="L14" s="25" t="str">
        <f aca="false">IF(OR($F14="",$G14=""),"",(YEAR($F14)-YEAR($G14))*12+MONTH($F14)-MONTH($G14))</f>
        <v/>
      </c>
      <c r="M14" s="25" t="str">
        <f aca="false">IF(OR($F14="",$K14=""),"",(YEAR($F14)-YEAR($K14))*12+MONTH($F14)-MONTH($K14))</f>
        <v/>
      </c>
      <c r="N14" s="23" t="str">
        <f aca="false">IF($L14="","",IF(ABS($L14)&lt;=3,"整合",IF($L14&gt;3,"S&amp;P先行：SOP・生産国・世代を確認","ML先行：旧世代込み・先行登録を確認")))</f>
        <v/>
      </c>
      <c r="O14" s="22"/>
      <c r="P14" s="19"/>
    </row>
    <row r="15" customFormat="false" ht="15" hidden="false" customHeight="false" outlineLevel="0" collapsed="false">
      <c r="A15" s="19"/>
      <c r="B15" s="19"/>
      <c r="C15" s="19"/>
      <c r="D15" s="20"/>
      <c r="E15" s="21"/>
      <c r="F15" s="22"/>
      <c r="G15" s="22"/>
      <c r="H15" s="21"/>
      <c r="I15" s="23" t="str">
        <f aca="false">IF($D15="","",IFERROR(INDEX(モデル一覧!$D:$D,MATCH($D15,モデル一覧!$A:$A,0)),"IDなし"))</f>
        <v/>
      </c>
      <c r="J15" s="23" t="str">
        <f aca="false">IF($D15="","",IFERROR(INDEX(モデル一覧!$E:$E,MATCH($D15,モデル一覧!$A:$A,0)),"IDなし"))</f>
        <v/>
      </c>
      <c r="K15" s="24" t="str">
        <f aca="false">IF($D15="","",IFERROR(IF(INDEX(モデル一覧!$L:$L,MATCH($D15,モデル一覧!$A:$A,0))="","",DATE(INDEX(モデル一覧!$K:$K,MATCH($D15,モデル一覧!$A:$A,0)),INDEX(モデル一覧!$L:$L,MATCH($D15,モデル一覧!$A:$A,0)),1)),""))</f>
        <v/>
      </c>
      <c r="L15" s="25" t="str">
        <f aca="false">IF(OR($F15="",$G15=""),"",(YEAR($F15)-YEAR($G15))*12+MONTH($F15)-MONTH($G15))</f>
        <v/>
      </c>
      <c r="M15" s="25" t="str">
        <f aca="false">IF(OR($F15="",$K15=""),"",(YEAR($F15)-YEAR($K15))*12+MONTH($F15)-MONTH($K15))</f>
        <v/>
      </c>
      <c r="N15" s="23" t="str">
        <f aca="false">IF($L15="","",IF(ABS($L15)&lt;=3,"整合",IF($L15&gt;3,"S&amp;P先行：SOP・生産国・世代を確認","ML先行：旧世代込み・先行登録を確認")))</f>
        <v/>
      </c>
      <c r="O15" s="22"/>
      <c r="P15" s="19"/>
    </row>
    <row r="16" customFormat="false" ht="15" hidden="false" customHeight="false" outlineLevel="0" collapsed="false">
      <c r="A16" s="19"/>
      <c r="B16" s="19"/>
      <c r="C16" s="19"/>
      <c r="D16" s="20"/>
      <c r="E16" s="21"/>
      <c r="F16" s="22"/>
      <c r="G16" s="22"/>
      <c r="H16" s="21"/>
      <c r="I16" s="23" t="str">
        <f aca="false">IF($D16="","",IFERROR(INDEX(モデル一覧!$D:$D,MATCH($D16,モデル一覧!$A:$A,0)),"IDなし"))</f>
        <v/>
      </c>
      <c r="J16" s="23" t="str">
        <f aca="false">IF($D16="","",IFERROR(INDEX(モデル一覧!$E:$E,MATCH($D16,モデル一覧!$A:$A,0)),"IDなし"))</f>
        <v/>
      </c>
      <c r="K16" s="24" t="str">
        <f aca="false">IF($D16="","",IFERROR(IF(INDEX(モデル一覧!$L:$L,MATCH($D16,モデル一覧!$A:$A,0))="","",DATE(INDEX(モデル一覧!$K:$K,MATCH($D16,モデル一覧!$A:$A,0)),INDEX(モデル一覧!$L:$L,MATCH($D16,モデル一覧!$A:$A,0)),1)),""))</f>
        <v/>
      </c>
      <c r="L16" s="25" t="str">
        <f aca="false">IF(OR($F16="",$G16=""),"",(YEAR($F16)-YEAR($G16))*12+MONTH($F16)-MONTH($G16))</f>
        <v/>
      </c>
      <c r="M16" s="25" t="str">
        <f aca="false">IF(OR($F16="",$K16=""),"",(YEAR($F16)-YEAR($K16))*12+MONTH($F16)-MONTH($K16))</f>
        <v/>
      </c>
      <c r="N16" s="23" t="str">
        <f aca="false">IF($L16="","",IF(ABS($L16)&lt;=3,"整合",IF($L16&gt;3,"S&amp;P先行：SOP・生産国・世代を確認","ML先行：旧世代込み・先行登録を確認")))</f>
        <v/>
      </c>
      <c r="O16" s="22"/>
      <c r="P16" s="19"/>
    </row>
    <row r="17" customFormat="false" ht="15" hidden="false" customHeight="false" outlineLevel="0" collapsed="false">
      <c r="A17" s="19"/>
      <c r="B17" s="19"/>
      <c r="C17" s="19"/>
      <c r="D17" s="20"/>
      <c r="E17" s="21"/>
      <c r="F17" s="22"/>
      <c r="G17" s="22"/>
      <c r="H17" s="21"/>
      <c r="I17" s="23" t="str">
        <f aca="false">IF($D17="","",IFERROR(INDEX(モデル一覧!$D:$D,MATCH($D17,モデル一覧!$A:$A,0)),"IDなし"))</f>
        <v/>
      </c>
      <c r="J17" s="23" t="str">
        <f aca="false">IF($D17="","",IFERROR(INDEX(モデル一覧!$E:$E,MATCH($D17,モデル一覧!$A:$A,0)),"IDなし"))</f>
        <v/>
      </c>
      <c r="K17" s="24" t="str">
        <f aca="false">IF($D17="","",IFERROR(IF(INDEX(モデル一覧!$L:$L,MATCH($D17,モデル一覧!$A:$A,0))="","",DATE(INDEX(モデル一覧!$K:$K,MATCH($D17,モデル一覧!$A:$A,0)),INDEX(モデル一覧!$L:$L,MATCH($D17,モデル一覧!$A:$A,0)),1)),""))</f>
        <v/>
      </c>
      <c r="L17" s="25" t="str">
        <f aca="false">IF(OR($F17="",$G17=""),"",(YEAR($F17)-YEAR($G17))*12+MONTH($F17)-MONTH($G17))</f>
        <v/>
      </c>
      <c r="M17" s="25" t="str">
        <f aca="false">IF(OR($F17="",$K17=""),"",(YEAR($F17)-YEAR($K17))*12+MONTH($F17)-MONTH($K17))</f>
        <v/>
      </c>
      <c r="N17" s="23" t="str">
        <f aca="false">IF($L17="","",IF(ABS($L17)&lt;=3,"整合",IF($L17&gt;3,"S&amp;P先行：SOP・生産国・世代を確認","ML先行：旧世代込み・先行登録を確認")))</f>
        <v/>
      </c>
      <c r="O17" s="22"/>
      <c r="P17" s="19"/>
    </row>
    <row r="18" customFormat="false" ht="15" hidden="false" customHeight="false" outlineLevel="0" collapsed="false">
      <c r="A18" s="19"/>
      <c r="B18" s="19"/>
      <c r="C18" s="19"/>
      <c r="D18" s="20"/>
      <c r="E18" s="21"/>
      <c r="F18" s="22"/>
      <c r="G18" s="22"/>
      <c r="H18" s="21"/>
      <c r="I18" s="23" t="str">
        <f aca="false">IF($D18="","",IFERROR(INDEX(モデル一覧!$D:$D,MATCH($D18,モデル一覧!$A:$A,0)),"IDなし"))</f>
        <v/>
      </c>
      <c r="J18" s="23" t="str">
        <f aca="false">IF($D18="","",IFERROR(INDEX(モデル一覧!$E:$E,MATCH($D18,モデル一覧!$A:$A,0)),"IDなし"))</f>
        <v/>
      </c>
      <c r="K18" s="24" t="str">
        <f aca="false">IF($D18="","",IFERROR(IF(INDEX(モデル一覧!$L:$L,MATCH($D18,モデル一覧!$A:$A,0))="","",DATE(INDEX(モデル一覧!$K:$K,MATCH($D18,モデル一覧!$A:$A,0)),INDEX(モデル一覧!$L:$L,MATCH($D18,モデル一覧!$A:$A,0)),1)),""))</f>
        <v/>
      </c>
      <c r="L18" s="25" t="str">
        <f aca="false">IF(OR($F18="",$G18=""),"",(YEAR($F18)-YEAR($G18))*12+MONTH($F18)-MONTH($G18))</f>
        <v/>
      </c>
      <c r="M18" s="25" t="str">
        <f aca="false">IF(OR($F18="",$K18=""),"",(YEAR($F18)-YEAR($K18))*12+MONTH($F18)-MONTH($K18))</f>
        <v/>
      </c>
      <c r="N18" s="23" t="str">
        <f aca="false">IF($L18="","",IF(ABS($L18)&lt;=3,"整合",IF($L18&gt;3,"S&amp;P先行：SOP・生産国・世代を確認","ML先行：旧世代込み・先行登録を確認")))</f>
        <v/>
      </c>
      <c r="O18" s="22"/>
      <c r="P18" s="19"/>
    </row>
    <row r="19" customFormat="false" ht="15" hidden="false" customHeight="false" outlineLevel="0" collapsed="false">
      <c r="A19" s="19"/>
      <c r="B19" s="19"/>
      <c r="C19" s="19"/>
      <c r="D19" s="20"/>
      <c r="E19" s="21"/>
      <c r="F19" s="22"/>
      <c r="G19" s="22"/>
      <c r="H19" s="21"/>
      <c r="I19" s="23" t="str">
        <f aca="false">IF($D19="","",IFERROR(INDEX(モデル一覧!$D:$D,MATCH($D19,モデル一覧!$A:$A,0)),"IDなし"))</f>
        <v/>
      </c>
      <c r="J19" s="23" t="str">
        <f aca="false">IF($D19="","",IFERROR(INDEX(モデル一覧!$E:$E,MATCH($D19,モデル一覧!$A:$A,0)),"IDなし"))</f>
        <v/>
      </c>
      <c r="K19" s="24" t="str">
        <f aca="false">IF($D19="","",IFERROR(IF(INDEX(モデル一覧!$L:$L,MATCH($D19,モデル一覧!$A:$A,0))="","",DATE(INDEX(モデル一覧!$K:$K,MATCH($D19,モデル一覧!$A:$A,0)),INDEX(モデル一覧!$L:$L,MATCH($D19,モデル一覧!$A:$A,0)),1)),""))</f>
        <v/>
      </c>
      <c r="L19" s="25" t="str">
        <f aca="false">IF(OR($F19="",$G19=""),"",(YEAR($F19)-YEAR($G19))*12+MONTH($F19)-MONTH($G19))</f>
        <v/>
      </c>
      <c r="M19" s="25" t="str">
        <f aca="false">IF(OR($F19="",$K19=""),"",(YEAR($F19)-YEAR($K19))*12+MONTH($F19)-MONTH($K19))</f>
        <v/>
      </c>
      <c r="N19" s="23" t="str">
        <f aca="false">IF($L19="","",IF(ABS($L19)&lt;=3,"整合",IF($L19&gt;3,"S&amp;P先行：SOP・生産国・世代を確認","ML先行：旧世代込み・先行登録を確認")))</f>
        <v/>
      </c>
      <c r="O19" s="22"/>
      <c r="P19" s="19"/>
    </row>
    <row r="20" customFormat="false" ht="15" hidden="false" customHeight="false" outlineLevel="0" collapsed="false">
      <c r="A20" s="19"/>
      <c r="B20" s="19"/>
      <c r="C20" s="19"/>
      <c r="D20" s="20"/>
      <c r="E20" s="21"/>
      <c r="F20" s="22"/>
      <c r="G20" s="22"/>
      <c r="H20" s="21"/>
      <c r="I20" s="23" t="str">
        <f aca="false">IF($D20="","",IFERROR(INDEX(モデル一覧!$D:$D,MATCH($D20,モデル一覧!$A:$A,0)),"IDなし"))</f>
        <v/>
      </c>
      <c r="J20" s="23" t="str">
        <f aca="false">IF($D20="","",IFERROR(INDEX(モデル一覧!$E:$E,MATCH($D20,モデル一覧!$A:$A,0)),"IDなし"))</f>
        <v/>
      </c>
      <c r="K20" s="24" t="str">
        <f aca="false">IF($D20="","",IFERROR(IF(INDEX(モデル一覧!$L:$L,MATCH($D20,モデル一覧!$A:$A,0))="","",DATE(INDEX(モデル一覧!$K:$K,MATCH($D20,モデル一覧!$A:$A,0)),INDEX(モデル一覧!$L:$L,MATCH($D20,モデル一覧!$A:$A,0)),1)),""))</f>
        <v/>
      </c>
      <c r="L20" s="25" t="str">
        <f aca="false">IF(OR($F20="",$G20=""),"",(YEAR($F20)-YEAR($G20))*12+MONTH($F20)-MONTH($G20))</f>
        <v/>
      </c>
      <c r="M20" s="25" t="str">
        <f aca="false">IF(OR($F20="",$K20=""),"",(YEAR($F20)-YEAR($K20))*12+MONTH($F20)-MONTH($K20))</f>
        <v/>
      </c>
      <c r="N20" s="23" t="str">
        <f aca="false">IF($L20="","",IF(ABS($L20)&lt;=3,"整合",IF($L20&gt;3,"S&amp;P先行：SOP・生産国・世代を確認","ML先行：旧世代込み・先行登録を確認")))</f>
        <v/>
      </c>
      <c r="O20" s="22"/>
      <c r="P20" s="19"/>
    </row>
    <row r="21" customFormat="false" ht="15" hidden="false" customHeight="false" outlineLevel="0" collapsed="false">
      <c r="A21" s="19"/>
      <c r="B21" s="19"/>
      <c r="C21" s="19"/>
      <c r="D21" s="20"/>
      <c r="E21" s="21"/>
      <c r="F21" s="22"/>
      <c r="G21" s="22"/>
      <c r="H21" s="21"/>
      <c r="I21" s="23" t="str">
        <f aca="false">IF($D21="","",IFERROR(INDEX(モデル一覧!$D:$D,MATCH($D21,モデル一覧!$A:$A,0)),"IDなし"))</f>
        <v/>
      </c>
      <c r="J21" s="23" t="str">
        <f aca="false">IF($D21="","",IFERROR(INDEX(モデル一覧!$E:$E,MATCH($D21,モデル一覧!$A:$A,0)),"IDなし"))</f>
        <v/>
      </c>
      <c r="K21" s="24" t="str">
        <f aca="false">IF($D21="","",IFERROR(IF(INDEX(モデル一覧!$L:$L,MATCH($D21,モデル一覧!$A:$A,0))="","",DATE(INDEX(モデル一覧!$K:$K,MATCH($D21,モデル一覧!$A:$A,0)),INDEX(モデル一覧!$L:$L,MATCH($D21,モデル一覧!$A:$A,0)),1)),""))</f>
        <v/>
      </c>
      <c r="L21" s="25" t="str">
        <f aca="false">IF(OR($F21="",$G21=""),"",(YEAR($F21)-YEAR($G21))*12+MONTH($F21)-MONTH($G21))</f>
        <v/>
      </c>
      <c r="M21" s="25" t="str">
        <f aca="false">IF(OR($F21="",$K21=""),"",(YEAR($F21)-YEAR($K21))*12+MONTH($F21)-MONTH($K21))</f>
        <v/>
      </c>
      <c r="N21" s="23" t="str">
        <f aca="false">IF($L21="","",IF(ABS($L21)&lt;=3,"整合",IF($L21&gt;3,"S&amp;P先行：SOP・生産国・世代を確認","ML先行：旧世代込み・先行登録を確認")))</f>
        <v/>
      </c>
      <c r="O21" s="22"/>
      <c r="P21" s="19"/>
    </row>
    <row r="22" customFormat="false" ht="15" hidden="false" customHeight="false" outlineLevel="0" collapsed="false">
      <c r="A22" s="19"/>
      <c r="B22" s="19"/>
      <c r="C22" s="19"/>
      <c r="D22" s="20"/>
      <c r="E22" s="21"/>
      <c r="F22" s="22"/>
      <c r="G22" s="22"/>
      <c r="H22" s="21"/>
      <c r="I22" s="23" t="str">
        <f aca="false">IF($D22="","",IFERROR(INDEX(モデル一覧!$D:$D,MATCH($D22,モデル一覧!$A:$A,0)),"IDなし"))</f>
        <v/>
      </c>
      <c r="J22" s="23" t="str">
        <f aca="false">IF($D22="","",IFERROR(INDEX(モデル一覧!$E:$E,MATCH($D22,モデル一覧!$A:$A,0)),"IDなし"))</f>
        <v/>
      </c>
      <c r="K22" s="24" t="str">
        <f aca="false">IF($D22="","",IFERROR(IF(INDEX(モデル一覧!$L:$L,MATCH($D22,モデル一覧!$A:$A,0))="","",DATE(INDEX(モデル一覧!$K:$K,MATCH($D22,モデル一覧!$A:$A,0)),INDEX(モデル一覧!$L:$L,MATCH($D22,モデル一覧!$A:$A,0)),1)),""))</f>
        <v/>
      </c>
      <c r="L22" s="25" t="str">
        <f aca="false">IF(OR($F22="",$G22=""),"",(YEAR($F22)-YEAR($G22))*12+MONTH($F22)-MONTH($G22))</f>
        <v/>
      </c>
      <c r="M22" s="25" t="str">
        <f aca="false">IF(OR($F22="",$K22=""),"",(YEAR($F22)-YEAR($K22))*12+MONTH($F22)-MONTH($K22))</f>
        <v/>
      </c>
      <c r="N22" s="23" t="str">
        <f aca="false">IF($L22="","",IF(ABS($L22)&lt;=3,"整合",IF($L22&gt;3,"S&amp;P先行：SOP・生産国・世代を確認","ML先行：旧世代込み・先行登録を確認")))</f>
        <v/>
      </c>
      <c r="O22" s="22"/>
      <c r="P22" s="19"/>
    </row>
    <row r="23" customFormat="false" ht="15" hidden="false" customHeight="false" outlineLevel="0" collapsed="false">
      <c r="A23" s="19"/>
      <c r="B23" s="19"/>
      <c r="C23" s="19"/>
      <c r="D23" s="20"/>
      <c r="E23" s="21"/>
      <c r="F23" s="22"/>
      <c r="G23" s="22"/>
      <c r="H23" s="21"/>
      <c r="I23" s="23" t="str">
        <f aca="false">IF($D23="","",IFERROR(INDEX(モデル一覧!$D:$D,MATCH($D23,モデル一覧!$A:$A,0)),"IDなし"))</f>
        <v/>
      </c>
      <c r="J23" s="23" t="str">
        <f aca="false">IF($D23="","",IFERROR(INDEX(モデル一覧!$E:$E,MATCH($D23,モデル一覧!$A:$A,0)),"IDなし"))</f>
        <v/>
      </c>
      <c r="K23" s="24" t="str">
        <f aca="false">IF($D23="","",IFERROR(IF(INDEX(モデル一覧!$L:$L,MATCH($D23,モデル一覧!$A:$A,0))="","",DATE(INDEX(モデル一覧!$K:$K,MATCH($D23,モデル一覧!$A:$A,0)),INDEX(モデル一覧!$L:$L,MATCH($D23,モデル一覧!$A:$A,0)),1)),""))</f>
        <v/>
      </c>
      <c r="L23" s="25" t="str">
        <f aca="false">IF(OR($F23="",$G23=""),"",(YEAR($F23)-YEAR($G23))*12+MONTH($F23)-MONTH($G23))</f>
        <v/>
      </c>
      <c r="M23" s="25" t="str">
        <f aca="false">IF(OR($F23="",$K23=""),"",(YEAR($F23)-YEAR($K23))*12+MONTH($F23)-MONTH($K23))</f>
        <v/>
      </c>
      <c r="N23" s="23" t="str">
        <f aca="false">IF($L23="","",IF(ABS($L23)&lt;=3,"整合",IF($L23&gt;3,"S&amp;P先行：SOP・生産国・世代を確認","ML先行：旧世代込み・先行登録を確認")))</f>
        <v/>
      </c>
      <c r="O23" s="22"/>
      <c r="P23" s="19"/>
    </row>
    <row r="24" customFormat="false" ht="15" hidden="false" customHeight="false" outlineLevel="0" collapsed="false">
      <c r="A24" s="19"/>
      <c r="B24" s="19"/>
      <c r="C24" s="19"/>
      <c r="D24" s="20"/>
      <c r="E24" s="21"/>
      <c r="F24" s="22"/>
      <c r="G24" s="22"/>
      <c r="H24" s="21"/>
      <c r="I24" s="23" t="str">
        <f aca="false">IF($D24="","",IFERROR(INDEX(モデル一覧!$D:$D,MATCH($D24,モデル一覧!$A:$A,0)),"IDなし"))</f>
        <v/>
      </c>
      <c r="J24" s="23" t="str">
        <f aca="false">IF($D24="","",IFERROR(INDEX(モデル一覧!$E:$E,MATCH($D24,モデル一覧!$A:$A,0)),"IDなし"))</f>
        <v/>
      </c>
      <c r="K24" s="24" t="str">
        <f aca="false">IF($D24="","",IFERROR(IF(INDEX(モデル一覧!$L:$L,MATCH($D24,モデル一覧!$A:$A,0))="","",DATE(INDEX(モデル一覧!$K:$K,MATCH($D24,モデル一覧!$A:$A,0)),INDEX(モデル一覧!$L:$L,MATCH($D24,モデル一覧!$A:$A,0)),1)),""))</f>
        <v/>
      </c>
      <c r="L24" s="25" t="str">
        <f aca="false">IF(OR($F24="",$G24=""),"",(YEAR($F24)-YEAR($G24))*12+MONTH($F24)-MONTH($G24))</f>
        <v/>
      </c>
      <c r="M24" s="25" t="str">
        <f aca="false">IF(OR($F24="",$K24=""),"",(YEAR($F24)-YEAR($K24))*12+MONTH($F24)-MONTH($K24))</f>
        <v/>
      </c>
      <c r="N24" s="23" t="str">
        <f aca="false">IF($L24="","",IF(ABS($L24)&lt;=3,"整合",IF($L24&gt;3,"S&amp;P先行：SOP・生産国・世代を確認","ML先行：旧世代込み・先行登録を確認")))</f>
        <v/>
      </c>
      <c r="O24" s="22"/>
      <c r="P24" s="19"/>
    </row>
    <row r="25" customFormat="false" ht="15" hidden="false" customHeight="false" outlineLevel="0" collapsed="false">
      <c r="A25" s="19"/>
      <c r="B25" s="19"/>
      <c r="C25" s="19"/>
      <c r="D25" s="20"/>
      <c r="E25" s="21"/>
      <c r="F25" s="22"/>
      <c r="G25" s="22"/>
      <c r="H25" s="21"/>
      <c r="I25" s="23" t="str">
        <f aca="false">IF($D25="","",IFERROR(INDEX(モデル一覧!$D:$D,MATCH($D25,モデル一覧!$A:$A,0)),"IDなし"))</f>
        <v/>
      </c>
      <c r="J25" s="23" t="str">
        <f aca="false">IF($D25="","",IFERROR(INDEX(モデル一覧!$E:$E,MATCH($D25,モデル一覧!$A:$A,0)),"IDなし"))</f>
        <v/>
      </c>
      <c r="K25" s="24" t="str">
        <f aca="false">IF($D25="","",IFERROR(IF(INDEX(モデル一覧!$L:$L,MATCH($D25,モデル一覧!$A:$A,0))="","",DATE(INDEX(モデル一覧!$K:$K,MATCH($D25,モデル一覧!$A:$A,0)),INDEX(モデル一覧!$L:$L,MATCH($D25,モデル一覧!$A:$A,0)),1)),""))</f>
        <v/>
      </c>
      <c r="L25" s="25" t="str">
        <f aca="false">IF(OR($F25="",$G25=""),"",(YEAR($F25)-YEAR($G25))*12+MONTH($F25)-MONTH($G25))</f>
        <v/>
      </c>
      <c r="M25" s="25" t="str">
        <f aca="false">IF(OR($F25="",$K25=""),"",(YEAR($F25)-YEAR($K25))*12+MONTH($F25)-MONTH($K25))</f>
        <v/>
      </c>
      <c r="N25" s="23" t="str">
        <f aca="false">IF($L25="","",IF(ABS($L25)&lt;=3,"整合",IF($L25&gt;3,"S&amp;P先行：SOP・生産国・世代を確認","ML先行：旧世代込み・先行登録を確認")))</f>
        <v/>
      </c>
      <c r="O25" s="22"/>
      <c r="P25" s="19"/>
    </row>
    <row r="26" customFormat="false" ht="15" hidden="false" customHeight="false" outlineLevel="0" collapsed="false">
      <c r="A26" s="19"/>
      <c r="B26" s="19"/>
      <c r="C26" s="19"/>
      <c r="D26" s="20"/>
      <c r="E26" s="21"/>
      <c r="F26" s="22"/>
      <c r="G26" s="22"/>
      <c r="H26" s="21"/>
      <c r="I26" s="23" t="str">
        <f aca="false">IF($D26="","",IFERROR(INDEX(モデル一覧!$D:$D,MATCH($D26,モデル一覧!$A:$A,0)),"IDなし"))</f>
        <v/>
      </c>
      <c r="J26" s="23" t="str">
        <f aca="false">IF($D26="","",IFERROR(INDEX(モデル一覧!$E:$E,MATCH($D26,モデル一覧!$A:$A,0)),"IDなし"))</f>
        <v/>
      </c>
      <c r="K26" s="24" t="str">
        <f aca="false">IF($D26="","",IFERROR(IF(INDEX(モデル一覧!$L:$L,MATCH($D26,モデル一覧!$A:$A,0))="","",DATE(INDEX(モデル一覧!$K:$K,MATCH($D26,モデル一覧!$A:$A,0)),INDEX(モデル一覧!$L:$L,MATCH($D26,モデル一覧!$A:$A,0)),1)),""))</f>
        <v/>
      </c>
      <c r="L26" s="25" t="str">
        <f aca="false">IF(OR($F26="",$G26=""),"",(YEAR($F26)-YEAR($G26))*12+MONTH($F26)-MONTH($G26))</f>
        <v/>
      </c>
      <c r="M26" s="25" t="str">
        <f aca="false">IF(OR($F26="",$K26=""),"",(YEAR($F26)-YEAR($K26))*12+MONTH($F26)-MONTH($K26))</f>
        <v/>
      </c>
      <c r="N26" s="23" t="str">
        <f aca="false">IF($L26="","",IF(ABS($L26)&lt;=3,"整合",IF($L26&gt;3,"S&amp;P先行：SOP・生産国・世代を確認","ML先行：旧世代込み・先行登録を確認")))</f>
        <v/>
      </c>
      <c r="O26" s="22"/>
      <c r="P26" s="19"/>
    </row>
    <row r="27" customFormat="false" ht="15" hidden="false" customHeight="false" outlineLevel="0" collapsed="false">
      <c r="A27" s="19"/>
      <c r="B27" s="19"/>
      <c r="C27" s="19"/>
      <c r="D27" s="20"/>
      <c r="E27" s="21"/>
      <c r="F27" s="22"/>
      <c r="G27" s="22"/>
      <c r="H27" s="21"/>
      <c r="I27" s="23" t="str">
        <f aca="false">IF($D27="","",IFERROR(INDEX(モデル一覧!$D:$D,MATCH($D27,モデル一覧!$A:$A,0)),"IDなし"))</f>
        <v/>
      </c>
      <c r="J27" s="23" t="str">
        <f aca="false">IF($D27="","",IFERROR(INDEX(モデル一覧!$E:$E,MATCH($D27,モデル一覧!$A:$A,0)),"IDなし"))</f>
        <v/>
      </c>
      <c r="K27" s="24" t="str">
        <f aca="false">IF($D27="","",IFERROR(IF(INDEX(モデル一覧!$L:$L,MATCH($D27,モデル一覧!$A:$A,0))="","",DATE(INDEX(モデル一覧!$K:$K,MATCH($D27,モデル一覧!$A:$A,0)),INDEX(モデル一覧!$L:$L,MATCH($D27,モデル一覧!$A:$A,0)),1)),""))</f>
        <v/>
      </c>
      <c r="L27" s="25" t="str">
        <f aca="false">IF(OR($F27="",$G27=""),"",(YEAR($F27)-YEAR($G27))*12+MONTH($F27)-MONTH($G27))</f>
        <v/>
      </c>
      <c r="M27" s="25" t="str">
        <f aca="false">IF(OR($F27="",$K27=""),"",(YEAR($F27)-YEAR($K27))*12+MONTH($F27)-MONTH($K27))</f>
        <v/>
      </c>
      <c r="N27" s="23" t="str">
        <f aca="false">IF($L27="","",IF(ABS($L27)&lt;=3,"整合",IF($L27&gt;3,"S&amp;P先行：SOP・生産国・世代を確認","ML先行：旧世代込み・先行登録を確認")))</f>
        <v/>
      </c>
      <c r="O27" s="22"/>
      <c r="P27" s="19"/>
    </row>
    <row r="28" customFormat="false" ht="15" hidden="false" customHeight="false" outlineLevel="0" collapsed="false">
      <c r="A28" s="19"/>
      <c r="B28" s="19"/>
      <c r="C28" s="19"/>
      <c r="D28" s="20"/>
      <c r="E28" s="21"/>
      <c r="F28" s="22"/>
      <c r="G28" s="22"/>
      <c r="H28" s="21"/>
      <c r="I28" s="23" t="str">
        <f aca="false">IF($D28="","",IFERROR(INDEX(モデル一覧!$D:$D,MATCH($D28,モデル一覧!$A:$A,0)),"IDなし"))</f>
        <v/>
      </c>
      <c r="J28" s="23" t="str">
        <f aca="false">IF($D28="","",IFERROR(INDEX(モデル一覧!$E:$E,MATCH($D28,モデル一覧!$A:$A,0)),"IDなし"))</f>
        <v/>
      </c>
      <c r="K28" s="24" t="str">
        <f aca="false">IF($D28="","",IFERROR(IF(INDEX(モデル一覧!$L:$L,MATCH($D28,モデル一覧!$A:$A,0))="","",DATE(INDEX(モデル一覧!$K:$K,MATCH($D28,モデル一覧!$A:$A,0)),INDEX(モデル一覧!$L:$L,MATCH($D28,モデル一覧!$A:$A,0)),1)),""))</f>
        <v/>
      </c>
      <c r="L28" s="25" t="str">
        <f aca="false">IF(OR($F28="",$G28=""),"",(YEAR($F28)-YEAR($G28))*12+MONTH($F28)-MONTH($G28))</f>
        <v/>
      </c>
      <c r="M28" s="25" t="str">
        <f aca="false">IF(OR($F28="",$K28=""),"",(YEAR($F28)-YEAR($K28))*12+MONTH($F28)-MONTH($K28))</f>
        <v/>
      </c>
      <c r="N28" s="23" t="str">
        <f aca="false">IF($L28="","",IF(ABS($L28)&lt;=3,"整合",IF($L28&gt;3,"S&amp;P先行：SOP・生産国・世代を確認","ML先行：旧世代込み・先行登録を確認")))</f>
        <v/>
      </c>
      <c r="O28" s="22"/>
      <c r="P28" s="19"/>
    </row>
    <row r="29" customFormat="false" ht="15" hidden="false" customHeight="false" outlineLevel="0" collapsed="false">
      <c r="A29" s="19"/>
      <c r="B29" s="19"/>
      <c r="C29" s="19"/>
      <c r="D29" s="20"/>
      <c r="E29" s="21"/>
      <c r="F29" s="22"/>
      <c r="G29" s="22"/>
      <c r="H29" s="21"/>
      <c r="I29" s="23" t="str">
        <f aca="false">IF($D29="","",IFERROR(INDEX(モデル一覧!$D:$D,MATCH($D29,モデル一覧!$A:$A,0)),"IDなし"))</f>
        <v/>
      </c>
      <c r="J29" s="23" t="str">
        <f aca="false">IF($D29="","",IFERROR(INDEX(モデル一覧!$E:$E,MATCH($D29,モデル一覧!$A:$A,0)),"IDなし"))</f>
        <v/>
      </c>
      <c r="K29" s="24" t="str">
        <f aca="false">IF($D29="","",IFERROR(IF(INDEX(モデル一覧!$L:$L,MATCH($D29,モデル一覧!$A:$A,0))="","",DATE(INDEX(モデル一覧!$K:$K,MATCH($D29,モデル一覧!$A:$A,0)),INDEX(モデル一覧!$L:$L,MATCH($D29,モデル一覧!$A:$A,0)),1)),""))</f>
        <v/>
      </c>
      <c r="L29" s="25" t="str">
        <f aca="false">IF(OR($F29="",$G29=""),"",(YEAR($F29)-YEAR($G29))*12+MONTH($F29)-MONTH($G29))</f>
        <v/>
      </c>
      <c r="M29" s="25" t="str">
        <f aca="false">IF(OR($F29="",$K29=""),"",(YEAR($F29)-YEAR($K29))*12+MONTH($F29)-MONTH($K29))</f>
        <v/>
      </c>
      <c r="N29" s="23" t="str">
        <f aca="false">IF($L29="","",IF(ABS($L29)&lt;=3,"整合",IF($L29&gt;3,"S&amp;P先行：SOP・生産国・世代を確認","ML先行：旧世代込み・先行登録を確認")))</f>
        <v/>
      </c>
      <c r="O29" s="22"/>
      <c r="P29" s="19"/>
    </row>
    <row r="30" customFormat="false" ht="15" hidden="false" customHeight="false" outlineLevel="0" collapsed="false">
      <c r="A30" s="19"/>
      <c r="B30" s="19"/>
      <c r="C30" s="19"/>
      <c r="D30" s="20"/>
      <c r="E30" s="21"/>
      <c r="F30" s="22"/>
      <c r="G30" s="22"/>
      <c r="H30" s="21"/>
      <c r="I30" s="23" t="str">
        <f aca="false">IF($D30="","",IFERROR(INDEX(モデル一覧!$D:$D,MATCH($D30,モデル一覧!$A:$A,0)),"IDなし"))</f>
        <v/>
      </c>
      <c r="J30" s="23" t="str">
        <f aca="false">IF($D30="","",IFERROR(INDEX(モデル一覧!$E:$E,MATCH($D30,モデル一覧!$A:$A,0)),"IDなし"))</f>
        <v/>
      </c>
      <c r="K30" s="24" t="str">
        <f aca="false">IF($D30="","",IFERROR(IF(INDEX(モデル一覧!$L:$L,MATCH($D30,モデル一覧!$A:$A,0))="","",DATE(INDEX(モデル一覧!$K:$K,MATCH($D30,モデル一覧!$A:$A,0)),INDEX(モデル一覧!$L:$L,MATCH($D30,モデル一覧!$A:$A,0)),1)),""))</f>
        <v/>
      </c>
      <c r="L30" s="25" t="str">
        <f aca="false">IF(OR($F30="",$G30=""),"",(YEAR($F30)-YEAR($G30))*12+MONTH($F30)-MONTH($G30))</f>
        <v/>
      </c>
      <c r="M30" s="25" t="str">
        <f aca="false">IF(OR($F30="",$K30=""),"",(YEAR($F30)-YEAR($K30))*12+MONTH($F30)-MONTH($K30))</f>
        <v/>
      </c>
      <c r="N30" s="23" t="str">
        <f aca="false">IF($L30="","",IF(ABS($L30)&lt;=3,"整合",IF($L30&gt;3,"S&amp;P先行：SOP・生産国・世代を確認","ML先行：旧世代込み・先行登録を確認")))</f>
        <v/>
      </c>
      <c r="O30" s="22"/>
      <c r="P30" s="19"/>
    </row>
    <row r="31" customFormat="false" ht="15" hidden="false" customHeight="false" outlineLevel="0" collapsed="false">
      <c r="A31" s="19"/>
      <c r="B31" s="19"/>
      <c r="C31" s="19"/>
      <c r="D31" s="20"/>
      <c r="E31" s="21"/>
      <c r="F31" s="22"/>
      <c r="G31" s="22"/>
      <c r="H31" s="21"/>
      <c r="I31" s="23" t="str">
        <f aca="false">IF($D31="","",IFERROR(INDEX(モデル一覧!$D:$D,MATCH($D31,モデル一覧!$A:$A,0)),"IDなし"))</f>
        <v/>
      </c>
      <c r="J31" s="23" t="str">
        <f aca="false">IF($D31="","",IFERROR(INDEX(モデル一覧!$E:$E,MATCH($D31,モデル一覧!$A:$A,0)),"IDなし"))</f>
        <v/>
      </c>
      <c r="K31" s="24" t="str">
        <f aca="false">IF($D31="","",IFERROR(IF(INDEX(モデル一覧!$L:$L,MATCH($D31,モデル一覧!$A:$A,0))="","",DATE(INDEX(モデル一覧!$K:$K,MATCH($D31,モデル一覧!$A:$A,0)),INDEX(モデル一覧!$L:$L,MATCH($D31,モデル一覧!$A:$A,0)),1)),""))</f>
        <v/>
      </c>
      <c r="L31" s="25" t="str">
        <f aca="false">IF(OR($F31="",$G31=""),"",(YEAR($F31)-YEAR($G31))*12+MONTH($F31)-MONTH($G31))</f>
        <v/>
      </c>
      <c r="M31" s="25" t="str">
        <f aca="false">IF(OR($F31="",$K31=""),"",(YEAR($F31)-YEAR($K31))*12+MONTH($F31)-MONTH($K31))</f>
        <v/>
      </c>
      <c r="N31" s="23" t="str">
        <f aca="false">IF($L31="","",IF(ABS($L31)&lt;=3,"整合",IF($L31&gt;3,"S&amp;P先行：SOP・生産国・世代を確認","ML先行：旧世代込み・先行登録を確認")))</f>
        <v/>
      </c>
      <c r="O31" s="22"/>
      <c r="P31" s="19"/>
    </row>
    <row r="32" customFormat="false" ht="15" hidden="false" customHeight="false" outlineLevel="0" collapsed="false">
      <c r="A32" s="19"/>
      <c r="B32" s="19"/>
      <c r="C32" s="19"/>
      <c r="D32" s="20"/>
      <c r="E32" s="21"/>
      <c r="F32" s="22"/>
      <c r="G32" s="22"/>
      <c r="H32" s="21"/>
      <c r="I32" s="23" t="str">
        <f aca="false">IF($D32="","",IFERROR(INDEX(モデル一覧!$D:$D,MATCH($D32,モデル一覧!$A:$A,0)),"IDなし"))</f>
        <v/>
      </c>
      <c r="J32" s="23" t="str">
        <f aca="false">IF($D32="","",IFERROR(INDEX(モデル一覧!$E:$E,MATCH($D32,モデル一覧!$A:$A,0)),"IDなし"))</f>
        <v/>
      </c>
      <c r="K32" s="24" t="str">
        <f aca="false">IF($D32="","",IFERROR(IF(INDEX(モデル一覧!$L:$L,MATCH($D32,モデル一覧!$A:$A,0))="","",DATE(INDEX(モデル一覧!$K:$K,MATCH($D32,モデル一覧!$A:$A,0)),INDEX(モデル一覧!$L:$L,MATCH($D32,モデル一覧!$A:$A,0)),1)),""))</f>
        <v/>
      </c>
      <c r="L32" s="25" t="str">
        <f aca="false">IF(OR($F32="",$G32=""),"",(YEAR($F32)-YEAR($G32))*12+MONTH($F32)-MONTH($G32))</f>
        <v/>
      </c>
      <c r="M32" s="25" t="str">
        <f aca="false">IF(OR($F32="",$K32=""),"",(YEAR($F32)-YEAR($K32))*12+MONTH($F32)-MONTH($K32))</f>
        <v/>
      </c>
      <c r="N32" s="23" t="str">
        <f aca="false">IF($L32="","",IF(ABS($L32)&lt;=3,"整合",IF($L32&gt;3,"S&amp;P先行：SOP・生産国・世代を確認","ML先行：旧世代込み・先行登録を確認")))</f>
        <v/>
      </c>
      <c r="O32" s="22"/>
      <c r="P32" s="19"/>
    </row>
    <row r="33" customFormat="false" ht="15" hidden="false" customHeight="false" outlineLevel="0" collapsed="false">
      <c r="A33" s="19"/>
      <c r="B33" s="19"/>
      <c r="C33" s="19"/>
      <c r="D33" s="20"/>
      <c r="E33" s="21"/>
      <c r="F33" s="22"/>
      <c r="G33" s="22"/>
      <c r="H33" s="21"/>
      <c r="I33" s="23" t="str">
        <f aca="false">IF($D33="","",IFERROR(INDEX(モデル一覧!$D:$D,MATCH($D33,モデル一覧!$A:$A,0)),"IDなし"))</f>
        <v/>
      </c>
      <c r="J33" s="23" t="str">
        <f aca="false">IF($D33="","",IFERROR(INDEX(モデル一覧!$E:$E,MATCH($D33,モデル一覧!$A:$A,0)),"IDなし"))</f>
        <v/>
      </c>
      <c r="K33" s="24" t="str">
        <f aca="false">IF($D33="","",IFERROR(IF(INDEX(モデル一覧!$L:$L,MATCH($D33,モデル一覧!$A:$A,0))="","",DATE(INDEX(モデル一覧!$K:$K,MATCH($D33,モデル一覧!$A:$A,0)),INDEX(モデル一覧!$L:$L,MATCH($D33,モデル一覧!$A:$A,0)),1)),""))</f>
        <v/>
      </c>
      <c r="L33" s="25" t="str">
        <f aca="false">IF(OR($F33="",$G33=""),"",(YEAR($F33)-YEAR($G33))*12+MONTH($F33)-MONTH($G33))</f>
        <v/>
      </c>
      <c r="M33" s="25" t="str">
        <f aca="false">IF(OR($F33="",$K33=""),"",(YEAR($F33)-YEAR($K33))*12+MONTH($F33)-MONTH($K33))</f>
        <v/>
      </c>
      <c r="N33" s="23" t="str">
        <f aca="false">IF($L33="","",IF(ABS($L33)&lt;=3,"整合",IF($L33&gt;3,"S&amp;P先行：SOP・生産国・世代を確認","ML先行：旧世代込み・先行登録を確認")))</f>
        <v/>
      </c>
      <c r="O33" s="22"/>
      <c r="P33" s="19"/>
    </row>
    <row r="34" customFormat="false" ht="15" hidden="false" customHeight="false" outlineLevel="0" collapsed="false">
      <c r="A34" s="19"/>
      <c r="B34" s="19"/>
      <c r="C34" s="19"/>
      <c r="D34" s="20"/>
      <c r="E34" s="21"/>
      <c r="F34" s="22"/>
      <c r="G34" s="22"/>
      <c r="H34" s="21"/>
      <c r="I34" s="23" t="str">
        <f aca="false">IF($D34="","",IFERROR(INDEX(モデル一覧!$D:$D,MATCH($D34,モデル一覧!$A:$A,0)),"IDなし"))</f>
        <v/>
      </c>
      <c r="J34" s="23" t="str">
        <f aca="false">IF($D34="","",IFERROR(INDEX(モデル一覧!$E:$E,MATCH($D34,モデル一覧!$A:$A,0)),"IDなし"))</f>
        <v/>
      </c>
      <c r="K34" s="24" t="str">
        <f aca="false">IF($D34="","",IFERROR(IF(INDEX(モデル一覧!$L:$L,MATCH($D34,モデル一覧!$A:$A,0))="","",DATE(INDEX(モデル一覧!$K:$K,MATCH($D34,モデル一覧!$A:$A,0)),INDEX(モデル一覧!$L:$L,MATCH($D34,モデル一覧!$A:$A,0)),1)),""))</f>
        <v/>
      </c>
      <c r="L34" s="25" t="str">
        <f aca="false">IF(OR($F34="",$G34=""),"",(YEAR($F34)-YEAR($G34))*12+MONTH($F34)-MONTH($G34))</f>
        <v/>
      </c>
      <c r="M34" s="25" t="str">
        <f aca="false">IF(OR($F34="",$K34=""),"",(YEAR($F34)-YEAR($K34))*12+MONTH($F34)-MONTH($K34))</f>
        <v/>
      </c>
      <c r="N34" s="23" t="str">
        <f aca="false">IF($L34="","",IF(ABS($L34)&lt;=3,"整合",IF($L34&gt;3,"S&amp;P先行：SOP・生産国・世代を確認","ML先行：旧世代込み・先行登録を確認")))</f>
        <v/>
      </c>
      <c r="O34" s="22"/>
      <c r="P34" s="19"/>
    </row>
    <row r="35" customFormat="false" ht="15" hidden="false" customHeight="false" outlineLevel="0" collapsed="false">
      <c r="A35" s="19"/>
      <c r="B35" s="19"/>
      <c r="C35" s="19"/>
      <c r="D35" s="20"/>
      <c r="E35" s="21"/>
      <c r="F35" s="22"/>
      <c r="G35" s="22"/>
      <c r="H35" s="21"/>
      <c r="I35" s="23" t="str">
        <f aca="false">IF($D35="","",IFERROR(INDEX(モデル一覧!$D:$D,MATCH($D35,モデル一覧!$A:$A,0)),"IDなし"))</f>
        <v/>
      </c>
      <c r="J35" s="23" t="str">
        <f aca="false">IF($D35="","",IFERROR(INDEX(モデル一覧!$E:$E,MATCH($D35,モデル一覧!$A:$A,0)),"IDなし"))</f>
        <v/>
      </c>
      <c r="K35" s="24" t="str">
        <f aca="false">IF($D35="","",IFERROR(IF(INDEX(モデル一覧!$L:$L,MATCH($D35,モデル一覧!$A:$A,0))="","",DATE(INDEX(モデル一覧!$K:$K,MATCH($D35,モデル一覧!$A:$A,0)),INDEX(モデル一覧!$L:$L,MATCH($D35,モデル一覧!$A:$A,0)),1)),""))</f>
        <v/>
      </c>
      <c r="L35" s="25" t="str">
        <f aca="false">IF(OR($F35="",$G35=""),"",(YEAR($F35)-YEAR($G35))*12+MONTH($F35)-MONTH($G35))</f>
        <v/>
      </c>
      <c r="M35" s="25" t="str">
        <f aca="false">IF(OR($F35="",$K35=""),"",(YEAR($F35)-YEAR($K35))*12+MONTH($F35)-MONTH($K35))</f>
        <v/>
      </c>
      <c r="N35" s="23" t="str">
        <f aca="false">IF($L35="","",IF(ABS($L35)&lt;=3,"整合",IF($L35&gt;3,"S&amp;P先行：SOP・生産国・世代を確認","ML先行：旧世代込み・先行登録を確認")))</f>
        <v/>
      </c>
      <c r="O35" s="22"/>
      <c r="P35" s="19"/>
    </row>
    <row r="36" customFormat="false" ht="15" hidden="false" customHeight="false" outlineLevel="0" collapsed="false">
      <c r="A36" s="19"/>
      <c r="B36" s="19"/>
      <c r="C36" s="19"/>
      <c r="D36" s="20"/>
      <c r="E36" s="21"/>
      <c r="F36" s="22"/>
      <c r="G36" s="22"/>
      <c r="H36" s="21"/>
      <c r="I36" s="23" t="str">
        <f aca="false">IF($D36="","",IFERROR(INDEX(モデル一覧!$D:$D,MATCH($D36,モデル一覧!$A:$A,0)),"IDなし"))</f>
        <v/>
      </c>
      <c r="J36" s="23" t="str">
        <f aca="false">IF($D36="","",IFERROR(INDEX(モデル一覧!$E:$E,MATCH($D36,モデル一覧!$A:$A,0)),"IDなし"))</f>
        <v/>
      </c>
      <c r="K36" s="24" t="str">
        <f aca="false">IF($D36="","",IFERROR(IF(INDEX(モデル一覧!$L:$L,MATCH($D36,モデル一覧!$A:$A,0))="","",DATE(INDEX(モデル一覧!$K:$K,MATCH($D36,モデル一覧!$A:$A,0)),INDEX(モデル一覧!$L:$L,MATCH($D36,モデル一覧!$A:$A,0)),1)),""))</f>
        <v/>
      </c>
      <c r="L36" s="25" t="str">
        <f aca="false">IF(OR($F36="",$G36=""),"",(YEAR($F36)-YEAR($G36))*12+MONTH($F36)-MONTH($G36))</f>
        <v/>
      </c>
      <c r="M36" s="25" t="str">
        <f aca="false">IF(OR($F36="",$K36=""),"",(YEAR($F36)-YEAR($K36))*12+MONTH($F36)-MONTH($K36))</f>
        <v/>
      </c>
      <c r="N36" s="23" t="str">
        <f aca="false">IF($L36="","",IF(ABS($L36)&lt;=3,"整合",IF($L36&gt;3,"S&amp;P先行：SOP・生産国・世代を確認","ML先行：旧世代込み・先行登録を確認")))</f>
        <v/>
      </c>
      <c r="O36" s="22"/>
      <c r="P36" s="19"/>
    </row>
    <row r="37" customFormat="false" ht="15" hidden="false" customHeight="false" outlineLevel="0" collapsed="false">
      <c r="A37" s="19"/>
      <c r="B37" s="19"/>
      <c r="C37" s="19"/>
      <c r="D37" s="20"/>
      <c r="E37" s="21"/>
      <c r="F37" s="22"/>
      <c r="G37" s="22"/>
      <c r="H37" s="21"/>
      <c r="I37" s="23" t="str">
        <f aca="false">IF($D37="","",IFERROR(INDEX(モデル一覧!$D:$D,MATCH($D37,モデル一覧!$A:$A,0)),"IDなし"))</f>
        <v/>
      </c>
      <c r="J37" s="23" t="str">
        <f aca="false">IF($D37="","",IFERROR(INDEX(モデル一覧!$E:$E,MATCH($D37,モデル一覧!$A:$A,0)),"IDなし"))</f>
        <v/>
      </c>
      <c r="K37" s="24" t="str">
        <f aca="false">IF($D37="","",IFERROR(IF(INDEX(モデル一覧!$L:$L,MATCH($D37,モデル一覧!$A:$A,0))="","",DATE(INDEX(モデル一覧!$K:$K,MATCH($D37,モデル一覧!$A:$A,0)),INDEX(モデル一覧!$L:$L,MATCH($D37,モデル一覧!$A:$A,0)),1)),""))</f>
        <v/>
      </c>
      <c r="L37" s="25" t="str">
        <f aca="false">IF(OR($F37="",$G37=""),"",(YEAR($F37)-YEAR($G37))*12+MONTH($F37)-MONTH($G37))</f>
        <v/>
      </c>
      <c r="M37" s="25" t="str">
        <f aca="false">IF(OR($F37="",$K37=""),"",(YEAR($F37)-YEAR($K37))*12+MONTH($F37)-MONTH($K37))</f>
        <v/>
      </c>
      <c r="N37" s="23" t="str">
        <f aca="false">IF($L37="","",IF(ABS($L37)&lt;=3,"整合",IF($L37&gt;3,"S&amp;P先行：SOP・生産国・世代を確認","ML先行：旧世代込み・先行登録を確認")))</f>
        <v/>
      </c>
      <c r="O37" s="22"/>
      <c r="P37" s="19"/>
    </row>
    <row r="38" customFormat="false" ht="15" hidden="false" customHeight="false" outlineLevel="0" collapsed="false">
      <c r="A38" s="19"/>
      <c r="B38" s="19"/>
      <c r="C38" s="19"/>
      <c r="D38" s="20"/>
      <c r="E38" s="21"/>
      <c r="F38" s="22"/>
      <c r="G38" s="22"/>
      <c r="H38" s="21"/>
      <c r="I38" s="23" t="str">
        <f aca="false">IF($D38="","",IFERROR(INDEX(モデル一覧!$D:$D,MATCH($D38,モデル一覧!$A:$A,0)),"IDなし"))</f>
        <v/>
      </c>
      <c r="J38" s="23" t="str">
        <f aca="false">IF($D38="","",IFERROR(INDEX(モデル一覧!$E:$E,MATCH($D38,モデル一覧!$A:$A,0)),"IDなし"))</f>
        <v/>
      </c>
      <c r="K38" s="24" t="str">
        <f aca="false">IF($D38="","",IFERROR(IF(INDEX(モデル一覧!$L:$L,MATCH($D38,モデル一覧!$A:$A,0))="","",DATE(INDEX(モデル一覧!$K:$K,MATCH($D38,モデル一覧!$A:$A,0)),INDEX(モデル一覧!$L:$L,MATCH($D38,モデル一覧!$A:$A,0)),1)),""))</f>
        <v/>
      </c>
      <c r="L38" s="25" t="str">
        <f aca="false">IF(OR($F38="",$G38=""),"",(YEAR($F38)-YEAR($G38))*12+MONTH($F38)-MONTH($G38))</f>
        <v/>
      </c>
      <c r="M38" s="25" t="str">
        <f aca="false">IF(OR($F38="",$K38=""),"",(YEAR($F38)-YEAR($K38))*12+MONTH($F38)-MONTH($K38))</f>
        <v/>
      </c>
      <c r="N38" s="23" t="str">
        <f aca="false">IF($L38="","",IF(ABS($L38)&lt;=3,"整合",IF($L38&gt;3,"S&amp;P先行：SOP・生産国・世代を確認","ML先行：旧世代込み・先行登録を確認")))</f>
        <v/>
      </c>
      <c r="O38" s="22"/>
      <c r="P38" s="19"/>
    </row>
    <row r="39" customFormat="false" ht="15" hidden="false" customHeight="false" outlineLevel="0" collapsed="false">
      <c r="A39" s="19"/>
      <c r="B39" s="19"/>
      <c r="C39" s="19"/>
      <c r="D39" s="20"/>
      <c r="E39" s="21"/>
      <c r="F39" s="22"/>
      <c r="G39" s="22"/>
      <c r="H39" s="21"/>
      <c r="I39" s="23" t="str">
        <f aca="false">IF($D39="","",IFERROR(INDEX(モデル一覧!$D:$D,MATCH($D39,モデル一覧!$A:$A,0)),"IDなし"))</f>
        <v/>
      </c>
      <c r="J39" s="23" t="str">
        <f aca="false">IF($D39="","",IFERROR(INDEX(モデル一覧!$E:$E,MATCH($D39,モデル一覧!$A:$A,0)),"IDなし"))</f>
        <v/>
      </c>
      <c r="K39" s="24" t="str">
        <f aca="false">IF($D39="","",IFERROR(IF(INDEX(モデル一覧!$L:$L,MATCH($D39,モデル一覧!$A:$A,0))="","",DATE(INDEX(モデル一覧!$K:$K,MATCH($D39,モデル一覧!$A:$A,0)),INDEX(モデル一覧!$L:$L,MATCH($D39,モデル一覧!$A:$A,0)),1)),""))</f>
        <v/>
      </c>
      <c r="L39" s="25" t="str">
        <f aca="false">IF(OR($F39="",$G39=""),"",(YEAR($F39)-YEAR($G39))*12+MONTH($F39)-MONTH($G39))</f>
        <v/>
      </c>
      <c r="M39" s="25" t="str">
        <f aca="false">IF(OR($F39="",$K39=""),"",(YEAR($F39)-YEAR($K39))*12+MONTH($F39)-MONTH($K39))</f>
        <v/>
      </c>
      <c r="N39" s="23" t="str">
        <f aca="false">IF($L39="","",IF(ABS($L39)&lt;=3,"整合",IF($L39&gt;3,"S&amp;P先行：SOP・生産国・世代を確認","ML先行：旧世代込み・先行登録を確認")))</f>
        <v/>
      </c>
      <c r="O39" s="22"/>
      <c r="P39" s="19"/>
    </row>
    <row r="40" customFormat="false" ht="15" hidden="false" customHeight="false" outlineLevel="0" collapsed="false">
      <c r="A40" s="19"/>
      <c r="B40" s="19"/>
      <c r="C40" s="19"/>
      <c r="D40" s="20"/>
      <c r="E40" s="21"/>
      <c r="F40" s="22"/>
      <c r="G40" s="22"/>
      <c r="H40" s="21"/>
      <c r="I40" s="23" t="str">
        <f aca="false">IF($D40="","",IFERROR(INDEX(モデル一覧!$D:$D,MATCH($D40,モデル一覧!$A:$A,0)),"IDなし"))</f>
        <v/>
      </c>
      <c r="J40" s="23" t="str">
        <f aca="false">IF($D40="","",IFERROR(INDEX(モデル一覧!$E:$E,MATCH($D40,モデル一覧!$A:$A,0)),"IDなし"))</f>
        <v/>
      </c>
      <c r="K40" s="24" t="str">
        <f aca="false">IF($D40="","",IFERROR(IF(INDEX(モデル一覧!$L:$L,MATCH($D40,モデル一覧!$A:$A,0))="","",DATE(INDEX(モデル一覧!$K:$K,MATCH($D40,モデル一覧!$A:$A,0)),INDEX(モデル一覧!$L:$L,MATCH($D40,モデル一覧!$A:$A,0)),1)),""))</f>
        <v/>
      </c>
      <c r="L40" s="25" t="str">
        <f aca="false">IF(OR($F40="",$G40=""),"",(YEAR($F40)-YEAR($G40))*12+MONTH($F40)-MONTH($G40))</f>
        <v/>
      </c>
      <c r="M40" s="25" t="str">
        <f aca="false">IF(OR($F40="",$K40=""),"",(YEAR($F40)-YEAR($K40))*12+MONTH($F40)-MONTH($K40))</f>
        <v/>
      </c>
      <c r="N40" s="23" t="str">
        <f aca="false">IF($L40="","",IF(ABS($L40)&lt;=3,"整合",IF($L40&gt;3,"S&amp;P先行：SOP・生産国・世代を確認","ML先行：旧世代込み・先行登録を確認")))</f>
        <v/>
      </c>
      <c r="O40" s="22"/>
      <c r="P40" s="19"/>
    </row>
    <row r="41" customFormat="false" ht="15" hidden="false" customHeight="false" outlineLevel="0" collapsed="false">
      <c r="A41" s="19"/>
      <c r="B41" s="19"/>
      <c r="C41" s="19"/>
      <c r="D41" s="20"/>
      <c r="E41" s="21"/>
      <c r="F41" s="22"/>
      <c r="G41" s="22"/>
      <c r="H41" s="21"/>
      <c r="I41" s="23" t="str">
        <f aca="false">IF($D41="","",IFERROR(INDEX(モデル一覧!$D:$D,MATCH($D41,モデル一覧!$A:$A,0)),"IDなし"))</f>
        <v/>
      </c>
      <c r="J41" s="23" t="str">
        <f aca="false">IF($D41="","",IFERROR(INDEX(モデル一覧!$E:$E,MATCH($D41,モデル一覧!$A:$A,0)),"IDなし"))</f>
        <v/>
      </c>
      <c r="K41" s="24" t="str">
        <f aca="false">IF($D41="","",IFERROR(IF(INDEX(モデル一覧!$L:$L,MATCH($D41,モデル一覧!$A:$A,0))="","",DATE(INDEX(モデル一覧!$K:$K,MATCH($D41,モデル一覧!$A:$A,0)),INDEX(モデル一覧!$L:$L,MATCH($D41,モデル一覧!$A:$A,0)),1)),""))</f>
        <v/>
      </c>
      <c r="L41" s="25" t="str">
        <f aca="false">IF(OR($F41="",$G41=""),"",(YEAR($F41)-YEAR($G41))*12+MONTH($F41)-MONTH($G41))</f>
        <v/>
      </c>
      <c r="M41" s="25" t="str">
        <f aca="false">IF(OR($F41="",$K41=""),"",(YEAR($F41)-YEAR($K41))*12+MONTH($F41)-MONTH($K41))</f>
        <v/>
      </c>
      <c r="N41" s="23" t="str">
        <f aca="false">IF($L41="","",IF(ABS($L41)&lt;=3,"整合",IF($L41&gt;3,"S&amp;P先行：SOP・生産国・世代を確認","ML先行：旧世代込み・先行登録を確認")))</f>
        <v/>
      </c>
      <c r="O41" s="22"/>
      <c r="P41" s="19"/>
    </row>
    <row r="42" customFormat="false" ht="15" hidden="false" customHeight="false" outlineLevel="0" collapsed="false">
      <c r="A42" s="19"/>
      <c r="B42" s="19"/>
      <c r="C42" s="19"/>
      <c r="D42" s="20"/>
      <c r="E42" s="21"/>
      <c r="F42" s="22"/>
      <c r="G42" s="22"/>
      <c r="H42" s="21"/>
      <c r="I42" s="23" t="str">
        <f aca="false">IF($D42="","",IFERROR(INDEX(モデル一覧!$D:$D,MATCH($D42,モデル一覧!$A:$A,0)),"IDなし"))</f>
        <v/>
      </c>
      <c r="J42" s="23" t="str">
        <f aca="false">IF($D42="","",IFERROR(INDEX(モデル一覧!$E:$E,MATCH($D42,モデル一覧!$A:$A,0)),"IDなし"))</f>
        <v/>
      </c>
      <c r="K42" s="24" t="str">
        <f aca="false">IF($D42="","",IFERROR(IF(INDEX(モデル一覧!$L:$L,MATCH($D42,モデル一覧!$A:$A,0))="","",DATE(INDEX(モデル一覧!$K:$K,MATCH($D42,モデル一覧!$A:$A,0)),INDEX(モデル一覧!$L:$L,MATCH($D42,モデル一覧!$A:$A,0)),1)),""))</f>
        <v/>
      </c>
      <c r="L42" s="25" t="str">
        <f aca="false">IF(OR($F42="",$G42=""),"",(YEAR($F42)-YEAR($G42))*12+MONTH($F42)-MONTH($G42))</f>
        <v/>
      </c>
      <c r="M42" s="25" t="str">
        <f aca="false">IF(OR($F42="",$K42=""),"",(YEAR($F42)-YEAR($K42))*12+MONTH($F42)-MONTH($K42))</f>
        <v/>
      </c>
      <c r="N42" s="23" t="str">
        <f aca="false">IF($L42="","",IF(ABS($L42)&lt;=3,"整合",IF($L42&gt;3,"S&amp;P先行：SOP・生産国・世代を確認","ML先行：旧世代込み・先行登録を確認")))</f>
        <v/>
      </c>
      <c r="O42" s="22"/>
      <c r="P42" s="19"/>
    </row>
    <row r="43" customFormat="false" ht="15" hidden="false" customHeight="false" outlineLevel="0" collapsed="false">
      <c r="A43" s="19"/>
      <c r="B43" s="19"/>
      <c r="C43" s="19"/>
      <c r="D43" s="20"/>
      <c r="E43" s="21"/>
      <c r="F43" s="22"/>
      <c r="G43" s="22"/>
      <c r="H43" s="21"/>
      <c r="I43" s="23" t="str">
        <f aca="false">IF($D43="","",IFERROR(INDEX(モデル一覧!$D:$D,MATCH($D43,モデル一覧!$A:$A,0)),"IDなし"))</f>
        <v/>
      </c>
      <c r="J43" s="23" t="str">
        <f aca="false">IF($D43="","",IFERROR(INDEX(モデル一覧!$E:$E,MATCH($D43,モデル一覧!$A:$A,0)),"IDなし"))</f>
        <v/>
      </c>
      <c r="K43" s="24" t="str">
        <f aca="false">IF($D43="","",IFERROR(IF(INDEX(モデル一覧!$L:$L,MATCH($D43,モデル一覧!$A:$A,0))="","",DATE(INDEX(モデル一覧!$K:$K,MATCH($D43,モデル一覧!$A:$A,0)),INDEX(モデル一覧!$L:$L,MATCH($D43,モデル一覧!$A:$A,0)),1)),""))</f>
        <v/>
      </c>
      <c r="L43" s="25" t="str">
        <f aca="false">IF(OR($F43="",$G43=""),"",(YEAR($F43)-YEAR($G43))*12+MONTH($F43)-MONTH($G43))</f>
        <v/>
      </c>
      <c r="M43" s="25" t="str">
        <f aca="false">IF(OR($F43="",$K43=""),"",(YEAR($F43)-YEAR($K43))*12+MONTH($F43)-MONTH($K43))</f>
        <v/>
      </c>
      <c r="N43" s="23" t="str">
        <f aca="false">IF($L43="","",IF(ABS($L43)&lt;=3,"整合",IF($L43&gt;3,"S&amp;P先行：SOP・生産国・世代を確認","ML先行：旧世代込み・先行登録を確認")))</f>
        <v/>
      </c>
      <c r="O43" s="22"/>
      <c r="P43" s="19"/>
    </row>
    <row r="44" customFormat="false" ht="15" hidden="false" customHeight="false" outlineLevel="0" collapsed="false">
      <c r="A44" s="19"/>
      <c r="B44" s="19"/>
      <c r="C44" s="19"/>
      <c r="D44" s="20"/>
      <c r="E44" s="21"/>
      <c r="F44" s="22"/>
      <c r="G44" s="22"/>
      <c r="H44" s="21"/>
      <c r="I44" s="23" t="str">
        <f aca="false">IF($D44="","",IFERROR(INDEX(モデル一覧!$D:$D,MATCH($D44,モデル一覧!$A:$A,0)),"IDなし"))</f>
        <v/>
      </c>
      <c r="J44" s="23" t="str">
        <f aca="false">IF($D44="","",IFERROR(INDEX(モデル一覧!$E:$E,MATCH($D44,モデル一覧!$A:$A,0)),"IDなし"))</f>
        <v/>
      </c>
      <c r="K44" s="24" t="str">
        <f aca="false">IF($D44="","",IFERROR(IF(INDEX(モデル一覧!$L:$L,MATCH($D44,モデル一覧!$A:$A,0))="","",DATE(INDEX(モデル一覧!$K:$K,MATCH($D44,モデル一覧!$A:$A,0)),INDEX(モデル一覧!$L:$L,MATCH($D44,モデル一覧!$A:$A,0)),1)),""))</f>
        <v/>
      </c>
      <c r="L44" s="25" t="str">
        <f aca="false">IF(OR($F44="",$G44=""),"",(YEAR($F44)-YEAR($G44))*12+MONTH($F44)-MONTH($G44))</f>
        <v/>
      </c>
      <c r="M44" s="25" t="str">
        <f aca="false">IF(OR($F44="",$K44=""),"",(YEAR($F44)-YEAR($K44))*12+MONTH($F44)-MONTH($K44))</f>
        <v/>
      </c>
      <c r="N44" s="23" t="str">
        <f aca="false">IF($L44="","",IF(ABS($L44)&lt;=3,"整合",IF($L44&gt;3,"S&amp;P先行：SOP・生産国・世代を確認","ML先行：旧世代込み・先行登録を確認")))</f>
        <v/>
      </c>
      <c r="O44" s="22"/>
      <c r="P44" s="19"/>
    </row>
    <row r="45" customFormat="false" ht="15" hidden="false" customHeight="false" outlineLevel="0" collapsed="false">
      <c r="A45" s="19"/>
      <c r="B45" s="19"/>
      <c r="C45" s="19"/>
      <c r="D45" s="20"/>
      <c r="E45" s="21"/>
      <c r="F45" s="22"/>
      <c r="G45" s="22"/>
      <c r="H45" s="21"/>
      <c r="I45" s="23" t="str">
        <f aca="false">IF($D45="","",IFERROR(INDEX(モデル一覧!$D:$D,MATCH($D45,モデル一覧!$A:$A,0)),"IDなし"))</f>
        <v/>
      </c>
      <c r="J45" s="23" t="str">
        <f aca="false">IF($D45="","",IFERROR(INDEX(モデル一覧!$E:$E,MATCH($D45,モデル一覧!$A:$A,0)),"IDなし"))</f>
        <v/>
      </c>
      <c r="K45" s="24" t="str">
        <f aca="false">IF($D45="","",IFERROR(IF(INDEX(モデル一覧!$L:$L,MATCH($D45,モデル一覧!$A:$A,0))="","",DATE(INDEX(モデル一覧!$K:$K,MATCH($D45,モデル一覧!$A:$A,0)),INDEX(モデル一覧!$L:$L,MATCH($D45,モデル一覧!$A:$A,0)),1)),""))</f>
        <v/>
      </c>
      <c r="L45" s="25" t="str">
        <f aca="false">IF(OR($F45="",$G45=""),"",(YEAR($F45)-YEAR($G45))*12+MONTH($F45)-MONTH($G45))</f>
        <v/>
      </c>
      <c r="M45" s="25" t="str">
        <f aca="false">IF(OR($F45="",$K45=""),"",(YEAR($F45)-YEAR($K45))*12+MONTH($F45)-MONTH($K45))</f>
        <v/>
      </c>
      <c r="N45" s="23" t="str">
        <f aca="false">IF($L45="","",IF(ABS($L45)&lt;=3,"整合",IF($L45&gt;3,"S&amp;P先行：SOP・生産国・世代を確認","ML先行：旧世代込み・先行登録を確認")))</f>
        <v/>
      </c>
      <c r="O45" s="22"/>
      <c r="P45" s="19"/>
    </row>
    <row r="46" customFormat="false" ht="15" hidden="false" customHeight="false" outlineLevel="0" collapsed="false">
      <c r="A46" s="19"/>
      <c r="B46" s="19"/>
      <c r="C46" s="19"/>
      <c r="D46" s="20"/>
      <c r="E46" s="21"/>
      <c r="F46" s="22"/>
      <c r="G46" s="22"/>
      <c r="H46" s="21"/>
      <c r="I46" s="23" t="str">
        <f aca="false">IF($D46="","",IFERROR(INDEX(モデル一覧!$D:$D,MATCH($D46,モデル一覧!$A:$A,0)),"IDなし"))</f>
        <v/>
      </c>
      <c r="J46" s="23" t="str">
        <f aca="false">IF($D46="","",IFERROR(INDEX(モデル一覧!$E:$E,MATCH($D46,モデル一覧!$A:$A,0)),"IDなし"))</f>
        <v/>
      </c>
      <c r="K46" s="24" t="str">
        <f aca="false">IF($D46="","",IFERROR(IF(INDEX(モデル一覧!$L:$L,MATCH($D46,モデル一覧!$A:$A,0))="","",DATE(INDEX(モデル一覧!$K:$K,MATCH($D46,モデル一覧!$A:$A,0)),INDEX(モデル一覧!$L:$L,MATCH($D46,モデル一覧!$A:$A,0)),1)),""))</f>
        <v/>
      </c>
      <c r="L46" s="25" t="str">
        <f aca="false">IF(OR($F46="",$G46=""),"",(YEAR($F46)-YEAR($G46))*12+MONTH($F46)-MONTH($G46))</f>
        <v/>
      </c>
      <c r="M46" s="25" t="str">
        <f aca="false">IF(OR($F46="",$K46=""),"",(YEAR($F46)-YEAR($K46))*12+MONTH($F46)-MONTH($K46))</f>
        <v/>
      </c>
      <c r="N46" s="23" t="str">
        <f aca="false">IF($L46="","",IF(ABS($L46)&lt;=3,"整合",IF($L46&gt;3,"S&amp;P先行：SOP・生産国・世代を確認","ML先行：旧世代込み・先行登録を確認")))</f>
        <v/>
      </c>
      <c r="O46" s="22"/>
      <c r="P46" s="19"/>
    </row>
    <row r="47" customFormat="false" ht="15" hidden="false" customHeight="false" outlineLevel="0" collapsed="false">
      <c r="A47" s="19"/>
      <c r="B47" s="19"/>
      <c r="C47" s="19"/>
      <c r="D47" s="20"/>
      <c r="E47" s="21"/>
      <c r="F47" s="22"/>
      <c r="G47" s="22"/>
      <c r="H47" s="21"/>
      <c r="I47" s="23" t="str">
        <f aca="false">IF($D47="","",IFERROR(INDEX(モデル一覧!$D:$D,MATCH($D47,モデル一覧!$A:$A,0)),"IDなし"))</f>
        <v/>
      </c>
      <c r="J47" s="23" t="str">
        <f aca="false">IF($D47="","",IFERROR(INDEX(モデル一覧!$E:$E,MATCH($D47,モデル一覧!$A:$A,0)),"IDなし"))</f>
        <v/>
      </c>
      <c r="K47" s="24" t="str">
        <f aca="false">IF($D47="","",IFERROR(IF(INDEX(モデル一覧!$L:$L,MATCH($D47,モデル一覧!$A:$A,0))="","",DATE(INDEX(モデル一覧!$K:$K,MATCH($D47,モデル一覧!$A:$A,0)),INDEX(モデル一覧!$L:$L,MATCH($D47,モデル一覧!$A:$A,0)),1)),""))</f>
        <v/>
      </c>
      <c r="L47" s="25" t="str">
        <f aca="false">IF(OR($F47="",$G47=""),"",(YEAR($F47)-YEAR($G47))*12+MONTH($F47)-MONTH($G47))</f>
        <v/>
      </c>
      <c r="M47" s="25" t="str">
        <f aca="false">IF(OR($F47="",$K47=""),"",(YEAR($F47)-YEAR($K47))*12+MONTH($F47)-MONTH($K47))</f>
        <v/>
      </c>
      <c r="N47" s="23" t="str">
        <f aca="false">IF($L47="","",IF(ABS($L47)&lt;=3,"整合",IF($L47&gt;3,"S&amp;P先行：SOP・生産国・世代を確認","ML先行：旧世代込み・先行登録を確認")))</f>
        <v/>
      </c>
      <c r="O47" s="22"/>
      <c r="P47" s="19"/>
    </row>
    <row r="48" customFormat="false" ht="15" hidden="false" customHeight="false" outlineLevel="0" collapsed="false">
      <c r="A48" s="19"/>
      <c r="B48" s="19"/>
      <c r="C48" s="19"/>
      <c r="D48" s="20"/>
      <c r="E48" s="21"/>
      <c r="F48" s="22"/>
      <c r="G48" s="22"/>
      <c r="H48" s="21"/>
      <c r="I48" s="23" t="str">
        <f aca="false">IF($D48="","",IFERROR(INDEX(モデル一覧!$D:$D,MATCH($D48,モデル一覧!$A:$A,0)),"IDなし"))</f>
        <v/>
      </c>
      <c r="J48" s="23" t="str">
        <f aca="false">IF($D48="","",IFERROR(INDEX(モデル一覧!$E:$E,MATCH($D48,モデル一覧!$A:$A,0)),"IDなし"))</f>
        <v/>
      </c>
      <c r="K48" s="24" t="str">
        <f aca="false">IF($D48="","",IFERROR(IF(INDEX(モデル一覧!$L:$L,MATCH($D48,モデル一覧!$A:$A,0))="","",DATE(INDEX(モデル一覧!$K:$K,MATCH($D48,モデル一覧!$A:$A,0)),INDEX(モデル一覧!$L:$L,MATCH($D48,モデル一覧!$A:$A,0)),1)),""))</f>
        <v/>
      </c>
      <c r="L48" s="25" t="str">
        <f aca="false">IF(OR($F48="",$G48=""),"",(YEAR($F48)-YEAR($G48))*12+MONTH($F48)-MONTH($G48))</f>
        <v/>
      </c>
      <c r="M48" s="25" t="str">
        <f aca="false">IF(OR($F48="",$K48=""),"",(YEAR($F48)-YEAR($K48))*12+MONTH($F48)-MONTH($K48))</f>
        <v/>
      </c>
      <c r="N48" s="23" t="str">
        <f aca="false">IF($L48="","",IF(ABS($L48)&lt;=3,"整合",IF($L48&gt;3,"S&amp;P先行：SOP・生産国・世代を確認","ML先行：旧世代込み・先行登録を確認")))</f>
        <v/>
      </c>
      <c r="O48" s="22"/>
      <c r="P48" s="19"/>
    </row>
    <row r="49" customFormat="false" ht="15" hidden="false" customHeight="false" outlineLevel="0" collapsed="false">
      <c r="A49" s="19"/>
      <c r="B49" s="19"/>
      <c r="C49" s="19"/>
      <c r="D49" s="20"/>
      <c r="E49" s="21"/>
      <c r="F49" s="22"/>
      <c r="G49" s="22"/>
      <c r="H49" s="21"/>
      <c r="I49" s="23" t="str">
        <f aca="false">IF($D49="","",IFERROR(INDEX(モデル一覧!$D:$D,MATCH($D49,モデル一覧!$A:$A,0)),"IDなし"))</f>
        <v/>
      </c>
      <c r="J49" s="23" t="str">
        <f aca="false">IF($D49="","",IFERROR(INDEX(モデル一覧!$E:$E,MATCH($D49,モデル一覧!$A:$A,0)),"IDなし"))</f>
        <v/>
      </c>
      <c r="K49" s="24" t="str">
        <f aca="false">IF($D49="","",IFERROR(IF(INDEX(モデル一覧!$L:$L,MATCH($D49,モデル一覧!$A:$A,0))="","",DATE(INDEX(モデル一覧!$K:$K,MATCH($D49,モデル一覧!$A:$A,0)),INDEX(モデル一覧!$L:$L,MATCH($D49,モデル一覧!$A:$A,0)),1)),""))</f>
        <v/>
      </c>
      <c r="L49" s="25" t="str">
        <f aca="false">IF(OR($F49="",$G49=""),"",(YEAR($F49)-YEAR($G49))*12+MONTH($F49)-MONTH($G49))</f>
        <v/>
      </c>
      <c r="M49" s="25" t="str">
        <f aca="false">IF(OR($F49="",$K49=""),"",(YEAR($F49)-YEAR($K49))*12+MONTH($F49)-MONTH($K49))</f>
        <v/>
      </c>
      <c r="N49" s="23" t="str">
        <f aca="false">IF($L49="","",IF(ABS($L49)&lt;=3,"整合",IF($L49&gt;3,"S&amp;P先行：SOP・生産国・世代を確認","ML先行：旧世代込み・先行登録を確認")))</f>
        <v/>
      </c>
      <c r="O49" s="22"/>
      <c r="P49" s="19"/>
    </row>
    <row r="50" customFormat="false" ht="15" hidden="false" customHeight="false" outlineLevel="0" collapsed="false">
      <c r="A50" s="19"/>
      <c r="B50" s="19"/>
      <c r="C50" s="19"/>
      <c r="D50" s="20"/>
      <c r="E50" s="21"/>
      <c r="F50" s="22"/>
      <c r="G50" s="22"/>
      <c r="H50" s="21"/>
      <c r="I50" s="23" t="str">
        <f aca="false">IF($D50="","",IFERROR(INDEX(モデル一覧!$D:$D,MATCH($D50,モデル一覧!$A:$A,0)),"IDなし"))</f>
        <v/>
      </c>
      <c r="J50" s="23" t="str">
        <f aca="false">IF($D50="","",IFERROR(INDEX(モデル一覧!$E:$E,MATCH($D50,モデル一覧!$A:$A,0)),"IDなし"))</f>
        <v/>
      </c>
      <c r="K50" s="24" t="str">
        <f aca="false">IF($D50="","",IFERROR(IF(INDEX(モデル一覧!$L:$L,MATCH($D50,モデル一覧!$A:$A,0))="","",DATE(INDEX(モデル一覧!$K:$K,MATCH($D50,モデル一覧!$A:$A,0)),INDEX(モデル一覧!$L:$L,MATCH($D50,モデル一覧!$A:$A,0)),1)),""))</f>
        <v/>
      </c>
      <c r="L50" s="25" t="str">
        <f aca="false">IF(OR($F50="",$G50=""),"",(YEAR($F50)-YEAR($G50))*12+MONTH($F50)-MONTH($G50))</f>
        <v/>
      </c>
      <c r="M50" s="25" t="str">
        <f aca="false">IF(OR($F50="",$K50=""),"",(YEAR($F50)-YEAR($K50))*12+MONTH($F50)-MONTH($K50))</f>
        <v/>
      </c>
      <c r="N50" s="23" t="str">
        <f aca="false">IF($L50="","",IF(ABS($L50)&lt;=3,"整合",IF($L50&gt;3,"S&amp;P先行：SOP・生産国・世代を確認","ML先行：旧世代込み・先行登録を確認")))</f>
        <v/>
      </c>
      <c r="O50" s="22"/>
      <c r="P50" s="19"/>
    </row>
    <row r="51" customFormat="false" ht="15" hidden="false" customHeight="false" outlineLevel="0" collapsed="false">
      <c r="A51" s="19"/>
      <c r="B51" s="19"/>
      <c r="C51" s="19"/>
      <c r="D51" s="20"/>
      <c r="E51" s="21"/>
      <c r="F51" s="22"/>
      <c r="G51" s="22"/>
      <c r="H51" s="21"/>
      <c r="I51" s="23" t="str">
        <f aca="false">IF($D51="","",IFERROR(INDEX(モデル一覧!$D:$D,MATCH($D51,モデル一覧!$A:$A,0)),"IDなし"))</f>
        <v/>
      </c>
      <c r="J51" s="23" t="str">
        <f aca="false">IF($D51="","",IFERROR(INDEX(モデル一覧!$E:$E,MATCH($D51,モデル一覧!$A:$A,0)),"IDなし"))</f>
        <v/>
      </c>
      <c r="K51" s="24" t="str">
        <f aca="false">IF($D51="","",IFERROR(IF(INDEX(モデル一覧!$L:$L,MATCH($D51,モデル一覧!$A:$A,0))="","",DATE(INDEX(モデル一覧!$K:$K,MATCH($D51,モデル一覧!$A:$A,0)),INDEX(モデル一覧!$L:$L,MATCH($D51,モデル一覧!$A:$A,0)),1)),""))</f>
        <v/>
      </c>
      <c r="L51" s="25" t="str">
        <f aca="false">IF(OR($F51="",$G51=""),"",(YEAR($F51)-YEAR($G51))*12+MONTH($F51)-MONTH($G51))</f>
        <v/>
      </c>
      <c r="M51" s="25" t="str">
        <f aca="false">IF(OR($F51="",$K51=""),"",(YEAR($F51)-YEAR($K51))*12+MONTH($F51)-MONTH($K51))</f>
        <v/>
      </c>
      <c r="N51" s="23" t="str">
        <f aca="false">IF($L51="","",IF(ABS($L51)&lt;=3,"整合",IF($L51&gt;3,"S&amp;P先行：SOP・生産国・世代を確認","ML先行：旧世代込み・先行登録を確認")))</f>
        <v/>
      </c>
      <c r="O51" s="22"/>
      <c r="P51" s="19"/>
    </row>
    <row r="52" customFormat="false" ht="15" hidden="false" customHeight="false" outlineLevel="0" collapsed="false">
      <c r="A52" s="19"/>
      <c r="B52" s="19"/>
      <c r="C52" s="19"/>
      <c r="D52" s="20"/>
      <c r="E52" s="21"/>
      <c r="F52" s="22"/>
      <c r="G52" s="22"/>
      <c r="H52" s="21"/>
      <c r="I52" s="23" t="str">
        <f aca="false">IF($D52="","",IFERROR(INDEX(モデル一覧!$D:$D,MATCH($D52,モデル一覧!$A:$A,0)),"IDなし"))</f>
        <v/>
      </c>
      <c r="J52" s="23" t="str">
        <f aca="false">IF($D52="","",IFERROR(INDEX(モデル一覧!$E:$E,MATCH($D52,モデル一覧!$A:$A,0)),"IDなし"))</f>
        <v/>
      </c>
      <c r="K52" s="24" t="str">
        <f aca="false">IF($D52="","",IFERROR(IF(INDEX(モデル一覧!$L:$L,MATCH($D52,モデル一覧!$A:$A,0))="","",DATE(INDEX(モデル一覧!$K:$K,MATCH($D52,モデル一覧!$A:$A,0)),INDEX(モデル一覧!$L:$L,MATCH($D52,モデル一覧!$A:$A,0)),1)),""))</f>
        <v/>
      </c>
      <c r="L52" s="25" t="str">
        <f aca="false">IF(OR($F52="",$G52=""),"",(YEAR($F52)-YEAR($G52))*12+MONTH($F52)-MONTH($G52))</f>
        <v/>
      </c>
      <c r="M52" s="25" t="str">
        <f aca="false">IF(OR($F52="",$K52=""),"",(YEAR($F52)-YEAR($K52))*12+MONTH($F52)-MONTH($K52))</f>
        <v/>
      </c>
      <c r="N52" s="23" t="str">
        <f aca="false">IF($L52="","",IF(ABS($L52)&lt;=3,"整合",IF($L52&gt;3,"S&amp;P先行：SOP・生産国・世代を確認","ML先行：旧世代込み・先行登録を確認")))</f>
        <v/>
      </c>
      <c r="O52" s="22"/>
      <c r="P52" s="19"/>
    </row>
    <row r="53" customFormat="false" ht="15" hidden="false" customHeight="false" outlineLevel="0" collapsed="false">
      <c r="A53" s="19"/>
      <c r="B53" s="19"/>
      <c r="C53" s="19"/>
      <c r="D53" s="20"/>
      <c r="E53" s="21"/>
      <c r="F53" s="22"/>
      <c r="G53" s="22"/>
      <c r="H53" s="21"/>
      <c r="I53" s="23" t="str">
        <f aca="false">IF($D53="","",IFERROR(INDEX(モデル一覧!$D:$D,MATCH($D53,モデル一覧!$A:$A,0)),"IDなし"))</f>
        <v/>
      </c>
      <c r="J53" s="23" t="str">
        <f aca="false">IF($D53="","",IFERROR(INDEX(モデル一覧!$E:$E,MATCH($D53,モデル一覧!$A:$A,0)),"IDなし"))</f>
        <v/>
      </c>
      <c r="K53" s="24" t="str">
        <f aca="false">IF($D53="","",IFERROR(IF(INDEX(モデル一覧!$L:$L,MATCH($D53,モデル一覧!$A:$A,0))="","",DATE(INDEX(モデル一覧!$K:$K,MATCH($D53,モデル一覧!$A:$A,0)),INDEX(モデル一覧!$L:$L,MATCH($D53,モデル一覧!$A:$A,0)),1)),""))</f>
        <v/>
      </c>
      <c r="L53" s="25" t="str">
        <f aca="false">IF(OR($F53="",$G53=""),"",(YEAR($F53)-YEAR($G53))*12+MONTH($F53)-MONTH($G53))</f>
        <v/>
      </c>
      <c r="M53" s="25" t="str">
        <f aca="false">IF(OR($F53="",$K53=""),"",(YEAR($F53)-YEAR($K53))*12+MONTH($F53)-MONTH($K53))</f>
        <v/>
      </c>
      <c r="N53" s="23" t="str">
        <f aca="false">IF($L53="","",IF(ABS($L53)&lt;=3,"整合",IF($L53&gt;3,"S&amp;P先行：SOP・生産国・世代を確認","ML先行：旧世代込み・先行登録を確認")))</f>
        <v/>
      </c>
      <c r="O53" s="22"/>
      <c r="P53" s="19"/>
    </row>
    <row r="54" customFormat="false" ht="15" hidden="false" customHeight="false" outlineLevel="0" collapsed="false">
      <c r="A54" s="19"/>
      <c r="B54" s="19"/>
      <c r="C54" s="19"/>
      <c r="D54" s="20"/>
      <c r="E54" s="21"/>
      <c r="F54" s="22"/>
      <c r="G54" s="22"/>
      <c r="H54" s="21"/>
      <c r="I54" s="23" t="str">
        <f aca="false">IF($D54="","",IFERROR(INDEX(モデル一覧!$D:$D,MATCH($D54,モデル一覧!$A:$A,0)),"IDなし"))</f>
        <v/>
      </c>
      <c r="J54" s="23" t="str">
        <f aca="false">IF($D54="","",IFERROR(INDEX(モデル一覧!$E:$E,MATCH($D54,モデル一覧!$A:$A,0)),"IDなし"))</f>
        <v/>
      </c>
      <c r="K54" s="24" t="str">
        <f aca="false">IF($D54="","",IFERROR(IF(INDEX(モデル一覧!$L:$L,MATCH($D54,モデル一覧!$A:$A,0))="","",DATE(INDEX(モデル一覧!$K:$K,MATCH($D54,モデル一覧!$A:$A,0)),INDEX(モデル一覧!$L:$L,MATCH($D54,モデル一覧!$A:$A,0)),1)),""))</f>
        <v/>
      </c>
      <c r="L54" s="25" t="str">
        <f aca="false">IF(OR($F54="",$G54=""),"",(YEAR($F54)-YEAR($G54))*12+MONTH($F54)-MONTH($G54))</f>
        <v/>
      </c>
      <c r="M54" s="25" t="str">
        <f aca="false">IF(OR($F54="",$K54=""),"",(YEAR($F54)-YEAR($K54))*12+MONTH($F54)-MONTH($K54))</f>
        <v/>
      </c>
      <c r="N54" s="23" t="str">
        <f aca="false">IF($L54="","",IF(ABS($L54)&lt;=3,"整合",IF($L54&gt;3,"S&amp;P先行：SOP・生産国・世代を確認","ML先行：旧世代込み・先行登録を確認")))</f>
        <v/>
      </c>
      <c r="O54" s="22"/>
      <c r="P54" s="19"/>
    </row>
    <row r="55" customFormat="false" ht="15" hidden="false" customHeight="false" outlineLevel="0" collapsed="false">
      <c r="A55" s="19"/>
      <c r="B55" s="19"/>
      <c r="C55" s="19"/>
      <c r="D55" s="20"/>
      <c r="E55" s="21"/>
      <c r="F55" s="22"/>
      <c r="G55" s="22"/>
      <c r="H55" s="21"/>
      <c r="I55" s="23" t="str">
        <f aca="false">IF($D55="","",IFERROR(INDEX(モデル一覧!$D:$D,MATCH($D55,モデル一覧!$A:$A,0)),"IDなし"))</f>
        <v/>
      </c>
      <c r="J55" s="23" t="str">
        <f aca="false">IF($D55="","",IFERROR(INDEX(モデル一覧!$E:$E,MATCH($D55,モデル一覧!$A:$A,0)),"IDなし"))</f>
        <v/>
      </c>
      <c r="K55" s="24" t="str">
        <f aca="false">IF($D55="","",IFERROR(IF(INDEX(モデル一覧!$L:$L,MATCH($D55,モデル一覧!$A:$A,0))="","",DATE(INDEX(モデル一覧!$K:$K,MATCH($D55,モデル一覧!$A:$A,0)),INDEX(モデル一覧!$L:$L,MATCH($D55,モデル一覧!$A:$A,0)),1)),""))</f>
        <v/>
      </c>
      <c r="L55" s="25" t="str">
        <f aca="false">IF(OR($F55="",$G55=""),"",(YEAR($F55)-YEAR($G55))*12+MONTH($F55)-MONTH($G55))</f>
        <v/>
      </c>
      <c r="M55" s="25" t="str">
        <f aca="false">IF(OR($F55="",$K55=""),"",(YEAR($F55)-YEAR($K55))*12+MONTH($F55)-MONTH($K55))</f>
        <v/>
      </c>
      <c r="N55" s="23" t="str">
        <f aca="false">IF($L55="","",IF(ABS($L55)&lt;=3,"整合",IF($L55&gt;3,"S&amp;P先行：SOP・生産国・世代を確認","ML先行：旧世代込み・先行登録を確認")))</f>
        <v/>
      </c>
      <c r="O55" s="22"/>
      <c r="P55" s="19"/>
    </row>
    <row r="56" customFormat="false" ht="15" hidden="false" customHeight="false" outlineLevel="0" collapsed="false">
      <c r="A56" s="19"/>
      <c r="B56" s="19"/>
      <c r="C56" s="19"/>
      <c r="D56" s="20"/>
      <c r="E56" s="21"/>
      <c r="F56" s="22"/>
      <c r="G56" s="22"/>
      <c r="H56" s="21"/>
      <c r="I56" s="23" t="str">
        <f aca="false">IF($D56="","",IFERROR(INDEX(モデル一覧!$D:$D,MATCH($D56,モデル一覧!$A:$A,0)),"IDなし"))</f>
        <v/>
      </c>
      <c r="J56" s="23" t="str">
        <f aca="false">IF($D56="","",IFERROR(INDEX(モデル一覧!$E:$E,MATCH($D56,モデル一覧!$A:$A,0)),"IDなし"))</f>
        <v/>
      </c>
      <c r="K56" s="24" t="str">
        <f aca="false">IF($D56="","",IFERROR(IF(INDEX(モデル一覧!$L:$L,MATCH($D56,モデル一覧!$A:$A,0))="","",DATE(INDEX(モデル一覧!$K:$K,MATCH($D56,モデル一覧!$A:$A,0)),INDEX(モデル一覧!$L:$L,MATCH($D56,モデル一覧!$A:$A,0)),1)),""))</f>
        <v/>
      </c>
      <c r="L56" s="25" t="str">
        <f aca="false">IF(OR($F56="",$G56=""),"",(YEAR($F56)-YEAR($G56))*12+MONTH($F56)-MONTH($G56))</f>
        <v/>
      </c>
      <c r="M56" s="25" t="str">
        <f aca="false">IF(OR($F56="",$K56=""),"",(YEAR($F56)-YEAR($K56))*12+MONTH($F56)-MONTH($K56))</f>
        <v/>
      </c>
      <c r="N56" s="23" t="str">
        <f aca="false">IF($L56="","",IF(ABS($L56)&lt;=3,"整合",IF($L56&gt;3,"S&amp;P先行：SOP・生産国・世代を確認","ML先行：旧世代込み・先行登録を確認")))</f>
        <v/>
      </c>
      <c r="O56" s="22"/>
      <c r="P56" s="19"/>
    </row>
    <row r="57" customFormat="false" ht="15" hidden="false" customHeight="false" outlineLevel="0" collapsed="false">
      <c r="A57" s="19"/>
      <c r="B57" s="19"/>
      <c r="C57" s="19"/>
      <c r="D57" s="20"/>
      <c r="E57" s="21"/>
      <c r="F57" s="22"/>
      <c r="G57" s="22"/>
      <c r="H57" s="21"/>
      <c r="I57" s="23" t="str">
        <f aca="false">IF($D57="","",IFERROR(INDEX(モデル一覧!$D:$D,MATCH($D57,モデル一覧!$A:$A,0)),"IDなし"))</f>
        <v/>
      </c>
      <c r="J57" s="23" t="str">
        <f aca="false">IF($D57="","",IFERROR(INDEX(モデル一覧!$E:$E,MATCH($D57,モデル一覧!$A:$A,0)),"IDなし"))</f>
        <v/>
      </c>
      <c r="K57" s="24" t="str">
        <f aca="false">IF($D57="","",IFERROR(IF(INDEX(モデル一覧!$L:$L,MATCH($D57,モデル一覧!$A:$A,0))="","",DATE(INDEX(モデル一覧!$K:$K,MATCH($D57,モデル一覧!$A:$A,0)),INDEX(モデル一覧!$L:$L,MATCH($D57,モデル一覧!$A:$A,0)),1)),""))</f>
        <v/>
      </c>
      <c r="L57" s="25" t="str">
        <f aca="false">IF(OR($F57="",$G57=""),"",(YEAR($F57)-YEAR($G57))*12+MONTH($F57)-MONTH($G57))</f>
        <v/>
      </c>
      <c r="M57" s="25" t="str">
        <f aca="false">IF(OR($F57="",$K57=""),"",(YEAR($F57)-YEAR($K57))*12+MONTH($F57)-MONTH($K57))</f>
        <v/>
      </c>
      <c r="N57" s="23" t="str">
        <f aca="false">IF($L57="","",IF(ABS($L57)&lt;=3,"整合",IF($L57&gt;3,"S&amp;P先行：SOP・生産国・世代を確認","ML先行：旧世代込み・先行登録を確認")))</f>
        <v/>
      </c>
      <c r="O57" s="22"/>
      <c r="P57" s="19"/>
    </row>
    <row r="58" customFormat="false" ht="15" hidden="false" customHeight="false" outlineLevel="0" collapsed="false">
      <c r="A58" s="19"/>
      <c r="B58" s="19"/>
      <c r="C58" s="19"/>
      <c r="D58" s="20"/>
      <c r="E58" s="21"/>
      <c r="F58" s="22"/>
      <c r="G58" s="22"/>
      <c r="H58" s="21"/>
      <c r="I58" s="23" t="str">
        <f aca="false">IF($D58="","",IFERROR(INDEX(モデル一覧!$D:$D,MATCH($D58,モデル一覧!$A:$A,0)),"IDなし"))</f>
        <v/>
      </c>
      <c r="J58" s="23" t="str">
        <f aca="false">IF($D58="","",IFERROR(INDEX(モデル一覧!$E:$E,MATCH($D58,モデル一覧!$A:$A,0)),"IDなし"))</f>
        <v/>
      </c>
      <c r="K58" s="24" t="str">
        <f aca="false">IF($D58="","",IFERROR(IF(INDEX(モデル一覧!$L:$L,MATCH($D58,モデル一覧!$A:$A,0))="","",DATE(INDEX(モデル一覧!$K:$K,MATCH($D58,モデル一覧!$A:$A,0)),INDEX(モデル一覧!$L:$L,MATCH($D58,モデル一覧!$A:$A,0)),1)),""))</f>
        <v/>
      </c>
      <c r="L58" s="25" t="str">
        <f aca="false">IF(OR($F58="",$G58=""),"",(YEAR($F58)-YEAR($G58))*12+MONTH($F58)-MONTH($G58))</f>
        <v/>
      </c>
      <c r="M58" s="25" t="str">
        <f aca="false">IF(OR($F58="",$K58=""),"",(YEAR($F58)-YEAR($K58))*12+MONTH($F58)-MONTH($K58))</f>
        <v/>
      </c>
      <c r="N58" s="23" t="str">
        <f aca="false">IF($L58="","",IF(ABS($L58)&lt;=3,"整合",IF($L58&gt;3,"S&amp;P先行：SOP・生産国・世代を確認","ML先行：旧世代込み・先行登録を確認")))</f>
        <v/>
      </c>
      <c r="O58" s="22"/>
      <c r="P58" s="19"/>
    </row>
    <row r="59" customFormat="false" ht="15" hidden="false" customHeight="false" outlineLevel="0" collapsed="false">
      <c r="A59" s="19"/>
      <c r="B59" s="19"/>
      <c r="C59" s="19"/>
      <c r="D59" s="20"/>
      <c r="E59" s="21"/>
      <c r="F59" s="22"/>
      <c r="G59" s="22"/>
      <c r="H59" s="21"/>
      <c r="I59" s="23" t="str">
        <f aca="false">IF($D59="","",IFERROR(INDEX(モデル一覧!$D:$D,MATCH($D59,モデル一覧!$A:$A,0)),"IDなし"))</f>
        <v/>
      </c>
      <c r="J59" s="23" t="str">
        <f aca="false">IF($D59="","",IFERROR(INDEX(モデル一覧!$E:$E,MATCH($D59,モデル一覧!$A:$A,0)),"IDなし"))</f>
        <v/>
      </c>
      <c r="K59" s="24" t="str">
        <f aca="false">IF($D59="","",IFERROR(IF(INDEX(モデル一覧!$L:$L,MATCH($D59,モデル一覧!$A:$A,0))="","",DATE(INDEX(モデル一覧!$K:$K,MATCH($D59,モデル一覧!$A:$A,0)),INDEX(モデル一覧!$L:$L,MATCH($D59,モデル一覧!$A:$A,0)),1)),""))</f>
        <v/>
      </c>
      <c r="L59" s="25" t="str">
        <f aca="false">IF(OR($F59="",$G59=""),"",(YEAR($F59)-YEAR($G59))*12+MONTH($F59)-MONTH($G59))</f>
        <v/>
      </c>
      <c r="M59" s="25" t="str">
        <f aca="false">IF(OR($F59="",$K59=""),"",(YEAR($F59)-YEAR($K59))*12+MONTH($F59)-MONTH($K59))</f>
        <v/>
      </c>
      <c r="N59" s="23" t="str">
        <f aca="false">IF($L59="","",IF(ABS($L59)&lt;=3,"整合",IF($L59&gt;3,"S&amp;P先行：SOP・生産国・世代を確認","ML先行：旧世代込み・先行登録を確認")))</f>
        <v/>
      </c>
      <c r="O59" s="22"/>
      <c r="P59" s="19"/>
    </row>
    <row r="60" customFormat="false" ht="15" hidden="false" customHeight="false" outlineLevel="0" collapsed="false">
      <c r="A60" s="19"/>
      <c r="B60" s="19"/>
      <c r="C60" s="19"/>
      <c r="D60" s="20"/>
      <c r="E60" s="21"/>
      <c r="F60" s="22"/>
      <c r="G60" s="22"/>
      <c r="H60" s="21"/>
      <c r="I60" s="23" t="str">
        <f aca="false">IF($D60="","",IFERROR(INDEX(モデル一覧!$D:$D,MATCH($D60,モデル一覧!$A:$A,0)),"IDなし"))</f>
        <v/>
      </c>
      <c r="J60" s="23" t="str">
        <f aca="false">IF($D60="","",IFERROR(INDEX(モデル一覧!$E:$E,MATCH($D60,モデル一覧!$A:$A,0)),"IDなし"))</f>
        <v/>
      </c>
      <c r="K60" s="24" t="str">
        <f aca="false">IF($D60="","",IFERROR(IF(INDEX(モデル一覧!$L:$L,MATCH($D60,モデル一覧!$A:$A,0))="","",DATE(INDEX(モデル一覧!$K:$K,MATCH($D60,モデル一覧!$A:$A,0)),INDEX(モデル一覧!$L:$L,MATCH($D60,モデル一覧!$A:$A,0)),1)),""))</f>
        <v/>
      </c>
      <c r="L60" s="25" t="str">
        <f aca="false">IF(OR($F60="",$G60=""),"",(YEAR($F60)-YEAR($G60))*12+MONTH($F60)-MONTH($G60))</f>
        <v/>
      </c>
      <c r="M60" s="25" t="str">
        <f aca="false">IF(OR($F60="",$K60=""),"",(YEAR($F60)-YEAR($K60))*12+MONTH($F60)-MONTH($K60))</f>
        <v/>
      </c>
      <c r="N60" s="23" t="str">
        <f aca="false">IF($L60="","",IF(ABS($L60)&lt;=3,"整合",IF($L60&gt;3,"S&amp;P先行：SOP・生産国・世代を確認","ML先行：旧世代込み・先行登録を確認")))</f>
        <v/>
      </c>
      <c r="O60" s="22"/>
      <c r="P60" s="19"/>
    </row>
    <row r="61" customFormat="false" ht="15" hidden="false" customHeight="false" outlineLevel="0" collapsed="false">
      <c r="A61" s="19"/>
      <c r="B61" s="19"/>
      <c r="C61" s="19"/>
      <c r="D61" s="20"/>
      <c r="E61" s="21"/>
      <c r="F61" s="22"/>
      <c r="G61" s="22"/>
      <c r="H61" s="21"/>
      <c r="I61" s="23" t="str">
        <f aca="false">IF($D61="","",IFERROR(INDEX(モデル一覧!$D:$D,MATCH($D61,モデル一覧!$A:$A,0)),"IDなし"))</f>
        <v/>
      </c>
      <c r="J61" s="23" t="str">
        <f aca="false">IF($D61="","",IFERROR(INDEX(モデル一覧!$E:$E,MATCH($D61,モデル一覧!$A:$A,0)),"IDなし"))</f>
        <v/>
      </c>
      <c r="K61" s="24" t="str">
        <f aca="false">IF($D61="","",IFERROR(IF(INDEX(モデル一覧!$L:$L,MATCH($D61,モデル一覧!$A:$A,0))="","",DATE(INDEX(モデル一覧!$K:$K,MATCH($D61,モデル一覧!$A:$A,0)),INDEX(モデル一覧!$L:$L,MATCH($D61,モデル一覧!$A:$A,0)),1)),""))</f>
        <v/>
      </c>
      <c r="L61" s="25" t="str">
        <f aca="false">IF(OR($F61="",$G61=""),"",(YEAR($F61)-YEAR($G61))*12+MONTH($F61)-MONTH($G61))</f>
        <v/>
      </c>
      <c r="M61" s="25" t="str">
        <f aca="false">IF(OR($F61="",$K61=""),"",(YEAR($F61)-YEAR($K61))*12+MONTH($F61)-MONTH($K61))</f>
        <v/>
      </c>
      <c r="N61" s="23" t="str">
        <f aca="false">IF($L61="","",IF(ABS($L61)&lt;=3,"整合",IF($L61&gt;3,"S&amp;P先行：SOP・生産国・世代を確認","ML先行：旧世代込み・先行登録を確認")))</f>
        <v/>
      </c>
      <c r="O61" s="22"/>
      <c r="P61" s="19"/>
    </row>
    <row r="62" customFormat="false" ht="15" hidden="false" customHeight="false" outlineLevel="0" collapsed="false">
      <c r="A62" s="19"/>
      <c r="B62" s="19"/>
      <c r="C62" s="19"/>
      <c r="D62" s="20"/>
      <c r="E62" s="21"/>
      <c r="F62" s="22"/>
      <c r="G62" s="22"/>
      <c r="H62" s="21"/>
      <c r="I62" s="23" t="str">
        <f aca="false">IF($D62="","",IFERROR(INDEX(モデル一覧!$D:$D,MATCH($D62,モデル一覧!$A:$A,0)),"IDなし"))</f>
        <v/>
      </c>
      <c r="J62" s="23" t="str">
        <f aca="false">IF($D62="","",IFERROR(INDEX(モデル一覧!$E:$E,MATCH($D62,モデル一覧!$A:$A,0)),"IDなし"))</f>
        <v/>
      </c>
      <c r="K62" s="24" t="str">
        <f aca="false">IF($D62="","",IFERROR(IF(INDEX(モデル一覧!$L:$L,MATCH($D62,モデル一覧!$A:$A,0))="","",DATE(INDEX(モデル一覧!$K:$K,MATCH($D62,モデル一覧!$A:$A,0)),INDEX(モデル一覧!$L:$L,MATCH($D62,モデル一覧!$A:$A,0)),1)),""))</f>
        <v/>
      </c>
      <c r="L62" s="25" t="str">
        <f aca="false">IF(OR($F62="",$G62=""),"",(YEAR($F62)-YEAR($G62))*12+MONTH($F62)-MONTH($G62))</f>
        <v/>
      </c>
      <c r="M62" s="25" t="str">
        <f aca="false">IF(OR($F62="",$K62=""),"",(YEAR($F62)-YEAR($K62))*12+MONTH($F62)-MONTH($K62))</f>
        <v/>
      </c>
      <c r="N62" s="23" t="str">
        <f aca="false">IF($L62="","",IF(ABS($L62)&lt;=3,"整合",IF($L62&gt;3,"S&amp;P先行：SOP・生産国・世代を確認","ML先行：旧世代込み・先行登録を確認")))</f>
        <v/>
      </c>
      <c r="O62" s="22"/>
      <c r="P62" s="19"/>
    </row>
    <row r="63" customFormat="false" ht="15" hidden="false" customHeight="false" outlineLevel="0" collapsed="false">
      <c r="A63" s="19"/>
      <c r="B63" s="19"/>
      <c r="C63" s="19"/>
      <c r="D63" s="20"/>
      <c r="E63" s="21"/>
      <c r="F63" s="22"/>
      <c r="G63" s="22"/>
      <c r="H63" s="21"/>
      <c r="I63" s="23" t="str">
        <f aca="false">IF($D63="","",IFERROR(INDEX(モデル一覧!$D:$D,MATCH($D63,モデル一覧!$A:$A,0)),"IDなし"))</f>
        <v/>
      </c>
      <c r="J63" s="23" t="str">
        <f aca="false">IF($D63="","",IFERROR(INDEX(モデル一覧!$E:$E,MATCH($D63,モデル一覧!$A:$A,0)),"IDなし"))</f>
        <v/>
      </c>
      <c r="K63" s="24" t="str">
        <f aca="false">IF($D63="","",IFERROR(IF(INDEX(モデル一覧!$L:$L,MATCH($D63,モデル一覧!$A:$A,0))="","",DATE(INDEX(モデル一覧!$K:$K,MATCH($D63,モデル一覧!$A:$A,0)),INDEX(モデル一覧!$L:$L,MATCH($D63,モデル一覧!$A:$A,0)),1)),""))</f>
        <v/>
      </c>
      <c r="L63" s="25" t="str">
        <f aca="false">IF(OR($F63="",$G63=""),"",(YEAR($F63)-YEAR($G63))*12+MONTH($F63)-MONTH($G63))</f>
        <v/>
      </c>
      <c r="M63" s="25" t="str">
        <f aca="false">IF(OR($F63="",$K63=""),"",(YEAR($F63)-YEAR($K63))*12+MONTH($F63)-MONTH($K63))</f>
        <v/>
      </c>
      <c r="N63" s="23" t="str">
        <f aca="false">IF($L63="","",IF(ABS($L63)&lt;=3,"整合",IF($L63&gt;3,"S&amp;P先行：SOP・生産国・世代を確認","ML先行：旧世代込み・先行登録を確認")))</f>
        <v/>
      </c>
      <c r="O63" s="22"/>
      <c r="P63" s="19"/>
    </row>
    <row r="64" customFormat="false" ht="15" hidden="false" customHeight="false" outlineLevel="0" collapsed="false">
      <c r="A64" s="19"/>
      <c r="B64" s="19"/>
      <c r="C64" s="19"/>
      <c r="D64" s="20"/>
      <c r="E64" s="21"/>
      <c r="F64" s="22"/>
      <c r="G64" s="22"/>
      <c r="H64" s="21"/>
      <c r="I64" s="23" t="str">
        <f aca="false">IF($D64="","",IFERROR(INDEX(モデル一覧!$D:$D,MATCH($D64,モデル一覧!$A:$A,0)),"IDなし"))</f>
        <v/>
      </c>
      <c r="J64" s="23" t="str">
        <f aca="false">IF($D64="","",IFERROR(INDEX(モデル一覧!$E:$E,MATCH($D64,モデル一覧!$A:$A,0)),"IDなし"))</f>
        <v/>
      </c>
      <c r="K64" s="24" t="str">
        <f aca="false">IF($D64="","",IFERROR(IF(INDEX(モデル一覧!$L:$L,MATCH($D64,モデル一覧!$A:$A,0))="","",DATE(INDEX(モデル一覧!$K:$K,MATCH($D64,モデル一覧!$A:$A,0)),INDEX(モデル一覧!$L:$L,MATCH($D64,モデル一覧!$A:$A,0)),1)),""))</f>
        <v/>
      </c>
      <c r="L64" s="25" t="str">
        <f aca="false">IF(OR($F64="",$G64=""),"",(YEAR($F64)-YEAR($G64))*12+MONTH($F64)-MONTH($G64))</f>
        <v/>
      </c>
      <c r="M64" s="25" t="str">
        <f aca="false">IF(OR($F64="",$K64=""),"",(YEAR($F64)-YEAR($K64))*12+MONTH($F64)-MONTH($K64))</f>
        <v/>
      </c>
      <c r="N64" s="23" t="str">
        <f aca="false">IF($L64="","",IF(ABS($L64)&lt;=3,"整合",IF($L64&gt;3,"S&amp;P先行：SOP・生産国・世代を確認","ML先行：旧世代込み・先行登録を確認")))</f>
        <v/>
      </c>
      <c r="O64" s="22"/>
      <c r="P64" s="19"/>
    </row>
    <row r="65" customFormat="false" ht="15" hidden="false" customHeight="false" outlineLevel="0" collapsed="false">
      <c r="A65" s="19"/>
      <c r="B65" s="19"/>
      <c r="C65" s="19"/>
      <c r="D65" s="20"/>
      <c r="E65" s="21"/>
      <c r="F65" s="22"/>
      <c r="G65" s="22"/>
      <c r="H65" s="21"/>
      <c r="I65" s="23" t="str">
        <f aca="false">IF($D65="","",IFERROR(INDEX(モデル一覧!$D:$D,MATCH($D65,モデル一覧!$A:$A,0)),"IDなし"))</f>
        <v/>
      </c>
      <c r="J65" s="23" t="str">
        <f aca="false">IF($D65="","",IFERROR(INDEX(モデル一覧!$E:$E,MATCH($D65,モデル一覧!$A:$A,0)),"IDなし"))</f>
        <v/>
      </c>
      <c r="K65" s="24" t="str">
        <f aca="false">IF($D65="","",IFERROR(IF(INDEX(モデル一覧!$L:$L,MATCH($D65,モデル一覧!$A:$A,0))="","",DATE(INDEX(モデル一覧!$K:$K,MATCH($D65,モデル一覧!$A:$A,0)),INDEX(モデル一覧!$L:$L,MATCH($D65,モデル一覧!$A:$A,0)),1)),""))</f>
        <v/>
      </c>
      <c r="L65" s="25" t="str">
        <f aca="false">IF(OR($F65="",$G65=""),"",(YEAR($F65)-YEAR($G65))*12+MONTH($F65)-MONTH($G65))</f>
        <v/>
      </c>
      <c r="M65" s="25" t="str">
        <f aca="false">IF(OR($F65="",$K65=""),"",(YEAR($F65)-YEAR($K65))*12+MONTH($F65)-MONTH($K65))</f>
        <v/>
      </c>
      <c r="N65" s="23" t="str">
        <f aca="false">IF($L65="","",IF(ABS($L65)&lt;=3,"整合",IF($L65&gt;3,"S&amp;P先行：SOP・生産国・世代を確認","ML先行：旧世代込み・先行登録を確認")))</f>
        <v/>
      </c>
      <c r="O65" s="22"/>
      <c r="P65" s="19"/>
    </row>
    <row r="66" customFormat="false" ht="15" hidden="false" customHeight="false" outlineLevel="0" collapsed="false">
      <c r="A66" s="19"/>
      <c r="B66" s="19"/>
      <c r="C66" s="19"/>
      <c r="D66" s="20"/>
      <c r="E66" s="21"/>
      <c r="F66" s="22"/>
      <c r="G66" s="22"/>
      <c r="H66" s="21"/>
      <c r="I66" s="23" t="str">
        <f aca="false">IF($D66="","",IFERROR(INDEX(モデル一覧!$D:$D,MATCH($D66,モデル一覧!$A:$A,0)),"IDなし"))</f>
        <v/>
      </c>
      <c r="J66" s="23" t="str">
        <f aca="false">IF($D66="","",IFERROR(INDEX(モデル一覧!$E:$E,MATCH($D66,モデル一覧!$A:$A,0)),"IDなし"))</f>
        <v/>
      </c>
      <c r="K66" s="24" t="str">
        <f aca="false">IF($D66="","",IFERROR(IF(INDEX(モデル一覧!$L:$L,MATCH($D66,モデル一覧!$A:$A,0))="","",DATE(INDEX(モデル一覧!$K:$K,MATCH($D66,モデル一覧!$A:$A,0)),INDEX(モデル一覧!$L:$L,MATCH($D66,モデル一覧!$A:$A,0)),1)),""))</f>
        <v/>
      </c>
      <c r="L66" s="25" t="str">
        <f aca="false">IF(OR($F66="",$G66=""),"",(YEAR($F66)-YEAR($G66))*12+MONTH($F66)-MONTH($G66))</f>
        <v/>
      </c>
      <c r="M66" s="25" t="str">
        <f aca="false">IF(OR($F66="",$K66=""),"",(YEAR($F66)-YEAR($K66))*12+MONTH($F66)-MONTH($K66))</f>
        <v/>
      </c>
      <c r="N66" s="23" t="str">
        <f aca="false">IF($L66="","",IF(ABS($L66)&lt;=3,"整合",IF($L66&gt;3,"S&amp;P先行：SOP・生産国・世代を確認","ML先行：旧世代込み・先行登録を確認")))</f>
        <v/>
      </c>
      <c r="O66" s="22"/>
      <c r="P66" s="19"/>
    </row>
    <row r="67" customFormat="false" ht="15" hidden="false" customHeight="false" outlineLevel="0" collapsed="false">
      <c r="A67" s="19"/>
      <c r="B67" s="19"/>
      <c r="C67" s="19"/>
      <c r="D67" s="20"/>
      <c r="E67" s="21"/>
      <c r="F67" s="22"/>
      <c r="G67" s="22"/>
      <c r="H67" s="21"/>
      <c r="I67" s="23" t="str">
        <f aca="false">IF($D67="","",IFERROR(INDEX(モデル一覧!$D:$D,MATCH($D67,モデル一覧!$A:$A,0)),"IDなし"))</f>
        <v/>
      </c>
      <c r="J67" s="23" t="str">
        <f aca="false">IF($D67="","",IFERROR(INDEX(モデル一覧!$E:$E,MATCH($D67,モデル一覧!$A:$A,0)),"IDなし"))</f>
        <v/>
      </c>
      <c r="K67" s="24" t="str">
        <f aca="false">IF($D67="","",IFERROR(IF(INDEX(モデル一覧!$L:$L,MATCH($D67,モデル一覧!$A:$A,0))="","",DATE(INDEX(モデル一覧!$K:$K,MATCH($D67,モデル一覧!$A:$A,0)),INDEX(モデル一覧!$L:$L,MATCH($D67,モデル一覧!$A:$A,0)),1)),""))</f>
        <v/>
      </c>
      <c r="L67" s="25" t="str">
        <f aca="false">IF(OR($F67="",$G67=""),"",(YEAR($F67)-YEAR($G67))*12+MONTH($F67)-MONTH($G67))</f>
        <v/>
      </c>
      <c r="M67" s="25" t="str">
        <f aca="false">IF(OR($F67="",$K67=""),"",(YEAR($F67)-YEAR($K67))*12+MONTH($F67)-MONTH($K67))</f>
        <v/>
      </c>
      <c r="N67" s="23" t="str">
        <f aca="false">IF($L67="","",IF(ABS($L67)&lt;=3,"整合",IF($L67&gt;3,"S&amp;P先行：SOP・生産国・世代を確認","ML先行：旧世代込み・先行登録を確認")))</f>
        <v/>
      </c>
      <c r="O67" s="22"/>
      <c r="P67" s="19"/>
    </row>
    <row r="68" customFormat="false" ht="15" hidden="false" customHeight="false" outlineLevel="0" collapsed="false">
      <c r="A68" s="19"/>
      <c r="B68" s="19"/>
      <c r="C68" s="19"/>
      <c r="D68" s="20"/>
      <c r="E68" s="21"/>
      <c r="F68" s="22"/>
      <c r="G68" s="22"/>
      <c r="H68" s="21"/>
      <c r="I68" s="23" t="str">
        <f aca="false">IF($D68="","",IFERROR(INDEX(モデル一覧!$D:$D,MATCH($D68,モデル一覧!$A:$A,0)),"IDなし"))</f>
        <v/>
      </c>
      <c r="J68" s="23" t="str">
        <f aca="false">IF($D68="","",IFERROR(INDEX(モデル一覧!$E:$E,MATCH($D68,モデル一覧!$A:$A,0)),"IDなし"))</f>
        <v/>
      </c>
      <c r="K68" s="24" t="str">
        <f aca="false">IF($D68="","",IFERROR(IF(INDEX(モデル一覧!$L:$L,MATCH($D68,モデル一覧!$A:$A,0))="","",DATE(INDEX(モデル一覧!$K:$K,MATCH($D68,モデル一覧!$A:$A,0)),INDEX(モデル一覧!$L:$L,MATCH($D68,モデル一覧!$A:$A,0)),1)),""))</f>
        <v/>
      </c>
      <c r="L68" s="25" t="str">
        <f aca="false">IF(OR($F68="",$G68=""),"",(YEAR($F68)-YEAR($G68))*12+MONTH($F68)-MONTH($G68))</f>
        <v/>
      </c>
      <c r="M68" s="25" t="str">
        <f aca="false">IF(OR($F68="",$K68=""),"",(YEAR($F68)-YEAR($K68))*12+MONTH($F68)-MONTH($K68))</f>
        <v/>
      </c>
      <c r="N68" s="23" t="str">
        <f aca="false">IF($L68="","",IF(ABS($L68)&lt;=3,"整合",IF($L68&gt;3,"S&amp;P先行：SOP・生産国・世代を確認","ML先行：旧世代込み・先行登録を確認")))</f>
        <v/>
      </c>
      <c r="O68" s="22"/>
      <c r="P68" s="19"/>
    </row>
    <row r="69" customFormat="false" ht="15" hidden="false" customHeight="false" outlineLevel="0" collapsed="false">
      <c r="A69" s="19"/>
      <c r="B69" s="19"/>
      <c r="C69" s="19"/>
      <c r="D69" s="20"/>
      <c r="E69" s="21"/>
      <c r="F69" s="22"/>
      <c r="G69" s="22"/>
      <c r="H69" s="21"/>
      <c r="I69" s="23" t="str">
        <f aca="false">IF($D69="","",IFERROR(INDEX(モデル一覧!$D:$D,MATCH($D69,モデル一覧!$A:$A,0)),"IDなし"))</f>
        <v/>
      </c>
      <c r="J69" s="23" t="str">
        <f aca="false">IF($D69="","",IFERROR(INDEX(モデル一覧!$E:$E,MATCH($D69,モデル一覧!$A:$A,0)),"IDなし"))</f>
        <v/>
      </c>
      <c r="K69" s="24" t="str">
        <f aca="false">IF($D69="","",IFERROR(IF(INDEX(モデル一覧!$L:$L,MATCH($D69,モデル一覧!$A:$A,0))="","",DATE(INDEX(モデル一覧!$K:$K,MATCH($D69,モデル一覧!$A:$A,0)),INDEX(モデル一覧!$L:$L,MATCH($D69,モデル一覧!$A:$A,0)),1)),""))</f>
        <v/>
      </c>
      <c r="L69" s="25" t="str">
        <f aca="false">IF(OR($F69="",$G69=""),"",(YEAR($F69)-YEAR($G69))*12+MONTH($F69)-MONTH($G69))</f>
        <v/>
      </c>
      <c r="M69" s="25" t="str">
        <f aca="false">IF(OR($F69="",$K69=""),"",(YEAR($F69)-YEAR($K69))*12+MONTH($F69)-MONTH($K69))</f>
        <v/>
      </c>
      <c r="N69" s="23" t="str">
        <f aca="false">IF($L69="","",IF(ABS($L69)&lt;=3,"整合",IF($L69&gt;3,"S&amp;P先行：SOP・生産国・世代を確認","ML先行：旧世代込み・先行登録を確認")))</f>
        <v/>
      </c>
      <c r="O69" s="22"/>
      <c r="P69" s="19"/>
    </row>
    <row r="70" customFormat="false" ht="15" hidden="false" customHeight="false" outlineLevel="0" collapsed="false">
      <c r="A70" s="19"/>
      <c r="B70" s="19"/>
      <c r="C70" s="19"/>
      <c r="D70" s="20"/>
      <c r="E70" s="21"/>
      <c r="F70" s="22"/>
      <c r="G70" s="22"/>
      <c r="H70" s="21"/>
      <c r="I70" s="23" t="str">
        <f aca="false">IF($D70="","",IFERROR(INDEX(モデル一覧!$D:$D,MATCH($D70,モデル一覧!$A:$A,0)),"IDなし"))</f>
        <v/>
      </c>
      <c r="J70" s="23" t="str">
        <f aca="false">IF($D70="","",IFERROR(INDEX(モデル一覧!$E:$E,MATCH($D70,モデル一覧!$A:$A,0)),"IDなし"))</f>
        <v/>
      </c>
      <c r="K70" s="24" t="str">
        <f aca="false">IF($D70="","",IFERROR(IF(INDEX(モデル一覧!$L:$L,MATCH($D70,モデル一覧!$A:$A,0))="","",DATE(INDEX(モデル一覧!$K:$K,MATCH($D70,モデル一覧!$A:$A,0)),INDEX(モデル一覧!$L:$L,MATCH($D70,モデル一覧!$A:$A,0)),1)),""))</f>
        <v/>
      </c>
      <c r="L70" s="25" t="str">
        <f aca="false">IF(OR($F70="",$G70=""),"",(YEAR($F70)-YEAR($G70))*12+MONTH($F70)-MONTH($G70))</f>
        <v/>
      </c>
      <c r="M70" s="25" t="str">
        <f aca="false">IF(OR($F70="",$K70=""),"",(YEAR($F70)-YEAR($K70))*12+MONTH($F70)-MONTH($K70))</f>
        <v/>
      </c>
      <c r="N70" s="23" t="str">
        <f aca="false">IF($L70="","",IF(ABS($L70)&lt;=3,"整合",IF($L70&gt;3,"S&amp;P先行：SOP・生産国・世代を確認","ML先行：旧世代込み・先行登録を確認")))</f>
        <v/>
      </c>
      <c r="O70" s="22"/>
      <c r="P70" s="19"/>
    </row>
    <row r="71" customFormat="false" ht="15" hidden="false" customHeight="false" outlineLevel="0" collapsed="false">
      <c r="A71" s="19"/>
      <c r="B71" s="19"/>
      <c r="C71" s="19"/>
      <c r="D71" s="20"/>
      <c r="E71" s="21"/>
      <c r="F71" s="22"/>
      <c r="G71" s="22"/>
      <c r="H71" s="21"/>
      <c r="I71" s="23" t="str">
        <f aca="false">IF($D71="","",IFERROR(INDEX(モデル一覧!$D:$D,MATCH($D71,モデル一覧!$A:$A,0)),"IDなし"))</f>
        <v/>
      </c>
      <c r="J71" s="23" t="str">
        <f aca="false">IF($D71="","",IFERROR(INDEX(モデル一覧!$E:$E,MATCH($D71,モデル一覧!$A:$A,0)),"IDなし"))</f>
        <v/>
      </c>
      <c r="K71" s="24" t="str">
        <f aca="false">IF($D71="","",IFERROR(IF(INDEX(モデル一覧!$L:$L,MATCH($D71,モデル一覧!$A:$A,0))="","",DATE(INDEX(モデル一覧!$K:$K,MATCH($D71,モデル一覧!$A:$A,0)),INDEX(モデル一覧!$L:$L,MATCH($D71,モデル一覧!$A:$A,0)),1)),""))</f>
        <v/>
      </c>
      <c r="L71" s="25" t="str">
        <f aca="false">IF(OR($F71="",$G71=""),"",(YEAR($F71)-YEAR($G71))*12+MONTH($F71)-MONTH($G71))</f>
        <v/>
      </c>
      <c r="M71" s="25" t="str">
        <f aca="false">IF(OR($F71="",$K71=""),"",(YEAR($F71)-YEAR($K71))*12+MONTH($F71)-MONTH($K71))</f>
        <v/>
      </c>
      <c r="N71" s="23" t="str">
        <f aca="false">IF($L71="","",IF(ABS($L71)&lt;=3,"整合",IF($L71&gt;3,"S&amp;P先行：SOP・生産国・世代を確認","ML先行：旧世代込み・先行登録を確認")))</f>
        <v/>
      </c>
      <c r="O71" s="22"/>
      <c r="P71" s="19"/>
    </row>
    <row r="72" customFormat="false" ht="15" hidden="false" customHeight="false" outlineLevel="0" collapsed="false">
      <c r="A72" s="19"/>
      <c r="B72" s="19"/>
      <c r="C72" s="19"/>
      <c r="D72" s="20"/>
      <c r="E72" s="21"/>
      <c r="F72" s="22"/>
      <c r="G72" s="22"/>
      <c r="H72" s="21"/>
      <c r="I72" s="23" t="str">
        <f aca="false">IF($D72="","",IFERROR(INDEX(モデル一覧!$D:$D,MATCH($D72,モデル一覧!$A:$A,0)),"IDなし"))</f>
        <v/>
      </c>
      <c r="J72" s="23" t="str">
        <f aca="false">IF($D72="","",IFERROR(INDEX(モデル一覧!$E:$E,MATCH($D72,モデル一覧!$A:$A,0)),"IDなし"))</f>
        <v/>
      </c>
      <c r="K72" s="24" t="str">
        <f aca="false">IF($D72="","",IFERROR(IF(INDEX(モデル一覧!$L:$L,MATCH($D72,モデル一覧!$A:$A,0))="","",DATE(INDEX(モデル一覧!$K:$K,MATCH($D72,モデル一覧!$A:$A,0)),INDEX(モデル一覧!$L:$L,MATCH($D72,モデル一覧!$A:$A,0)),1)),""))</f>
        <v/>
      </c>
      <c r="L72" s="25" t="str">
        <f aca="false">IF(OR($F72="",$G72=""),"",(YEAR($F72)-YEAR($G72))*12+MONTH($F72)-MONTH($G72))</f>
        <v/>
      </c>
      <c r="M72" s="25" t="str">
        <f aca="false">IF(OR($F72="",$K72=""),"",(YEAR($F72)-YEAR($K72))*12+MONTH($F72)-MONTH($K72))</f>
        <v/>
      </c>
      <c r="N72" s="23" t="str">
        <f aca="false">IF($L72="","",IF(ABS($L72)&lt;=3,"整合",IF($L72&gt;3,"S&amp;P先行：SOP・生産国・世代を確認","ML先行：旧世代込み・先行登録を確認")))</f>
        <v/>
      </c>
      <c r="O72" s="22"/>
      <c r="P72" s="19"/>
    </row>
    <row r="73" customFormat="false" ht="15" hidden="false" customHeight="false" outlineLevel="0" collapsed="false">
      <c r="A73" s="19"/>
      <c r="B73" s="19"/>
      <c r="C73" s="19"/>
      <c r="D73" s="20"/>
      <c r="E73" s="21"/>
      <c r="F73" s="22"/>
      <c r="G73" s="22"/>
      <c r="H73" s="21"/>
      <c r="I73" s="23" t="str">
        <f aca="false">IF($D73="","",IFERROR(INDEX(モデル一覧!$D:$D,MATCH($D73,モデル一覧!$A:$A,0)),"IDなし"))</f>
        <v/>
      </c>
      <c r="J73" s="23" t="str">
        <f aca="false">IF($D73="","",IFERROR(INDEX(モデル一覧!$E:$E,MATCH($D73,モデル一覧!$A:$A,0)),"IDなし"))</f>
        <v/>
      </c>
      <c r="K73" s="24" t="str">
        <f aca="false">IF($D73="","",IFERROR(IF(INDEX(モデル一覧!$L:$L,MATCH($D73,モデル一覧!$A:$A,0))="","",DATE(INDEX(モデル一覧!$K:$K,MATCH($D73,モデル一覧!$A:$A,0)),INDEX(モデル一覧!$L:$L,MATCH($D73,モデル一覧!$A:$A,0)),1)),""))</f>
        <v/>
      </c>
      <c r="L73" s="25" t="str">
        <f aca="false">IF(OR($F73="",$G73=""),"",(YEAR($F73)-YEAR($G73))*12+MONTH($F73)-MONTH($G73))</f>
        <v/>
      </c>
      <c r="M73" s="25" t="str">
        <f aca="false">IF(OR($F73="",$K73=""),"",(YEAR($F73)-YEAR($K73))*12+MONTH($F73)-MONTH($K73))</f>
        <v/>
      </c>
      <c r="N73" s="23" t="str">
        <f aca="false">IF($L73="","",IF(ABS($L73)&lt;=3,"整合",IF($L73&gt;3,"S&amp;P先行：SOP・生産国・世代を確認","ML先行：旧世代込み・先行登録を確認")))</f>
        <v/>
      </c>
      <c r="O73" s="22"/>
      <c r="P73" s="19"/>
    </row>
    <row r="74" customFormat="false" ht="15" hidden="false" customHeight="false" outlineLevel="0" collapsed="false">
      <c r="A74" s="19"/>
      <c r="B74" s="19"/>
      <c r="C74" s="19"/>
      <c r="D74" s="20"/>
      <c r="E74" s="21"/>
      <c r="F74" s="22"/>
      <c r="G74" s="22"/>
      <c r="H74" s="21"/>
      <c r="I74" s="23" t="str">
        <f aca="false">IF($D74="","",IFERROR(INDEX(モデル一覧!$D:$D,MATCH($D74,モデル一覧!$A:$A,0)),"IDなし"))</f>
        <v/>
      </c>
      <c r="J74" s="23" t="str">
        <f aca="false">IF($D74="","",IFERROR(INDEX(モデル一覧!$E:$E,MATCH($D74,モデル一覧!$A:$A,0)),"IDなし"))</f>
        <v/>
      </c>
      <c r="K74" s="24" t="str">
        <f aca="false">IF($D74="","",IFERROR(IF(INDEX(モデル一覧!$L:$L,MATCH($D74,モデル一覧!$A:$A,0))="","",DATE(INDEX(モデル一覧!$K:$K,MATCH($D74,モデル一覧!$A:$A,0)),INDEX(モデル一覧!$L:$L,MATCH($D74,モデル一覧!$A:$A,0)),1)),""))</f>
        <v/>
      </c>
      <c r="L74" s="25" t="str">
        <f aca="false">IF(OR($F74="",$G74=""),"",(YEAR($F74)-YEAR($G74))*12+MONTH($F74)-MONTH($G74))</f>
        <v/>
      </c>
      <c r="M74" s="25" t="str">
        <f aca="false">IF(OR($F74="",$K74=""),"",(YEAR($F74)-YEAR($K74))*12+MONTH($F74)-MONTH($K74))</f>
        <v/>
      </c>
      <c r="N74" s="23" t="str">
        <f aca="false">IF($L74="","",IF(ABS($L74)&lt;=3,"整合",IF($L74&gt;3,"S&amp;P先行：SOP・生産国・世代を確認","ML先行：旧世代込み・先行登録を確認")))</f>
        <v/>
      </c>
      <c r="O74" s="22"/>
      <c r="P74" s="19"/>
    </row>
    <row r="75" customFormat="false" ht="15" hidden="false" customHeight="false" outlineLevel="0" collapsed="false">
      <c r="A75" s="19"/>
      <c r="B75" s="19"/>
      <c r="C75" s="19"/>
      <c r="D75" s="20"/>
      <c r="E75" s="21"/>
      <c r="F75" s="22"/>
      <c r="G75" s="22"/>
      <c r="H75" s="21"/>
      <c r="I75" s="23" t="str">
        <f aca="false">IF($D75="","",IFERROR(INDEX(モデル一覧!$D:$D,MATCH($D75,モデル一覧!$A:$A,0)),"IDなし"))</f>
        <v/>
      </c>
      <c r="J75" s="23" t="str">
        <f aca="false">IF($D75="","",IFERROR(INDEX(モデル一覧!$E:$E,MATCH($D75,モデル一覧!$A:$A,0)),"IDなし"))</f>
        <v/>
      </c>
      <c r="K75" s="24" t="str">
        <f aca="false">IF($D75="","",IFERROR(IF(INDEX(モデル一覧!$L:$L,MATCH($D75,モデル一覧!$A:$A,0))="","",DATE(INDEX(モデル一覧!$K:$K,MATCH($D75,モデル一覧!$A:$A,0)),INDEX(モデル一覧!$L:$L,MATCH($D75,モデル一覧!$A:$A,0)),1)),""))</f>
        <v/>
      </c>
      <c r="L75" s="25" t="str">
        <f aca="false">IF(OR($F75="",$G75=""),"",(YEAR($F75)-YEAR($G75))*12+MONTH($F75)-MONTH($G75))</f>
        <v/>
      </c>
      <c r="M75" s="25" t="str">
        <f aca="false">IF(OR($F75="",$K75=""),"",(YEAR($F75)-YEAR($K75))*12+MONTH($F75)-MONTH($K75))</f>
        <v/>
      </c>
      <c r="N75" s="23" t="str">
        <f aca="false">IF($L75="","",IF(ABS($L75)&lt;=3,"整合",IF($L75&gt;3,"S&amp;P先行：SOP・生産国・世代を確認","ML先行：旧世代込み・先行登録を確認")))</f>
        <v/>
      </c>
      <c r="O75" s="22"/>
      <c r="P75" s="19"/>
    </row>
    <row r="76" customFormat="false" ht="15" hidden="false" customHeight="false" outlineLevel="0" collapsed="false">
      <c r="A76" s="19"/>
      <c r="B76" s="19"/>
      <c r="C76" s="19"/>
      <c r="D76" s="20"/>
      <c r="E76" s="21"/>
      <c r="F76" s="22"/>
      <c r="G76" s="22"/>
      <c r="H76" s="21"/>
      <c r="I76" s="23" t="str">
        <f aca="false">IF($D76="","",IFERROR(INDEX(モデル一覧!$D:$D,MATCH($D76,モデル一覧!$A:$A,0)),"IDなし"))</f>
        <v/>
      </c>
      <c r="J76" s="23" t="str">
        <f aca="false">IF($D76="","",IFERROR(INDEX(モデル一覧!$E:$E,MATCH($D76,モデル一覧!$A:$A,0)),"IDなし"))</f>
        <v/>
      </c>
      <c r="K76" s="24" t="str">
        <f aca="false">IF($D76="","",IFERROR(IF(INDEX(モデル一覧!$L:$L,MATCH($D76,モデル一覧!$A:$A,0))="","",DATE(INDEX(モデル一覧!$K:$K,MATCH($D76,モデル一覧!$A:$A,0)),INDEX(モデル一覧!$L:$L,MATCH($D76,モデル一覧!$A:$A,0)),1)),""))</f>
        <v/>
      </c>
      <c r="L76" s="25" t="str">
        <f aca="false">IF(OR($F76="",$G76=""),"",(YEAR($F76)-YEAR($G76))*12+MONTH($F76)-MONTH($G76))</f>
        <v/>
      </c>
      <c r="M76" s="25" t="str">
        <f aca="false">IF(OR($F76="",$K76=""),"",(YEAR($F76)-YEAR($K76))*12+MONTH($F76)-MONTH($K76))</f>
        <v/>
      </c>
      <c r="N76" s="23" t="str">
        <f aca="false">IF($L76="","",IF(ABS($L76)&lt;=3,"整合",IF($L76&gt;3,"S&amp;P先行：SOP・生産国・世代を確認","ML先行：旧世代込み・先行登録を確認")))</f>
        <v/>
      </c>
      <c r="O76" s="22"/>
      <c r="P76" s="19"/>
    </row>
    <row r="77" customFormat="false" ht="15" hidden="false" customHeight="false" outlineLevel="0" collapsed="false">
      <c r="A77" s="19"/>
      <c r="B77" s="19"/>
      <c r="C77" s="19"/>
      <c r="D77" s="20"/>
      <c r="E77" s="21"/>
      <c r="F77" s="22"/>
      <c r="G77" s="22"/>
      <c r="H77" s="21"/>
      <c r="I77" s="23" t="str">
        <f aca="false">IF($D77="","",IFERROR(INDEX(モデル一覧!$D:$D,MATCH($D77,モデル一覧!$A:$A,0)),"IDなし"))</f>
        <v/>
      </c>
      <c r="J77" s="23" t="str">
        <f aca="false">IF($D77="","",IFERROR(INDEX(モデル一覧!$E:$E,MATCH($D77,モデル一覧!$A:$A,0)),"IDなし"))</f>
        <v/>
      </c>
      <c r="K77" s="24" t="str">
        <f aca="false">IF($D77="","",IFERROR(IF(INDEX(モデル一覧!$L:$L,MATCH($D77,モデル一覧!$A:$A,0))="","",DATE(INDEX(モデル一覧!$K:$K,MATCH($D77,モデル一覧!$A:$A,0)),INDEX(モデル一覧!$L:$L,MATCH($D77,モデル一覧!$A:$A,0)),1)),""))</f>
        <v/>
      </c>
      <c r="L77" s="25" t="str">
        <f aca="false">IF(OR($F77="",$G77=""),"",(YEAR($F77)-YEAR($G77))*12+MONTH($F77)-MONTH($G77))</f>
        <v/>
      </c>
      <c r="M77" s="25" t="str">
        <f aca="false">IF(OR($F77="",$K77=""),"",(YEAR($F77)-YEAR($K77))*12+MONTH($F77)-MONTH($K77))</f>
        <v/>
      </c>
      <c r="N77" s="23" t="str">
        <f aca="false">IF($L77="","",IF(ABS($L77)&lt;=3,"整合",IF($L77&gt;3,"S&amp;P先行：SOP・生産国・世代を確認","ML先行：旧世代込み・先行登録を確認")))</f>
        <v/>
      </c>
      <c r="O77" s="22"/>
      <c r="P77" s="19"/>
    </row>
    <row r="78" customFormat="false" ht="15" hidden="false" customHeight="false" outlineLevel="0" collapsed="false">
      <c r="A78" s="19"/>
      <c r="B78" s="19"/>
      <c r="C78" s="19"/>
      <c r="D78" s="20"/>
      <c r="E78" s="21"/>
      <c r="F78" s="22"/>
      <c r="G78" s="22"/>
      <c r="H78" s="21"/>
      <c r="I78" s="23" t="str">
        <f aca="false">IF($D78="","",IFERROR(INDEX(モデル一覧!$D:$D,MATCH($D78,モデル一覧!$A:$A,0)),"IDなし"))</f>
        <v/>
      </c>
      <c r="J78" s="23" t="str">
        <f aca="false">IF($D78="","",IFERROR(INDEX(モデル一覧!$E:$E,MATCH($D78,モデル一覧!$A:$A,0)),"IDなし"))</f>
        <v/>
      </c>
      <c r="K78" s="24" t="str">
        <f aca="false">IF($D78="","",IFERROR(IF(INDEX(モデル一覧!$L:$L,MATCH($D78,モデル一覧!$A:$A,0))="","",DATE(INDEX(モデル一覧!$K:$K,MATCH($D78,モデル一覧!$A:$A,0)),INDEX(モデル一覧!$L:$L,MATCH($D78,モデル一覧!$A:$A,0)),1)),""))</f>
        <v/>
      </c>
      <c r="L78" s="25" t="str">
        <f aca="false">IF(OR($F78="",$G78=""),"",(YEAR($F78)-YEAR($G78))*12+MONTH($F78)-MONTH($G78))</f>
        <v/>
      </c>
      <c r="M78" s="25" t="str">
        <f aca="false">IF(OR($F78="",$K78=""),"",(YEAR($F78)-YEAR($K78))*12+MONTH($F78)-MONTH($K78))</f>
        <v/>
      </c>
      <c r="N78" s="23" t="str">
        <f aca="false">IF($L78="","",IF(ABS($L78)&lt;=3,"整合",IF($L78&gt;3,"S&amp;P先行：SOP・生産国・世代を確認","ML先行：旧世代込み・先行登録を確認")))</f>
        <v/>
      </c>
      <c r="O78" s="22"/>
      <c r="P78" s="19"/>
    </row>
    <row r="79" customFormat="false" ht="15" hidden="false" customHeight="false" outlineLevel="0" collapsed="false">
      <c r="A79" s="19"/>
      <c r="B79" s="19"/>
      <c r="C79" s="19"/>
      <c r="D79" s="20"/>
      <c r="E79" s="21"/>
      <c r="F79" s="22"/>
      <c r="G79" s="22"/>
      <c r="H79" s="21"/>
      <c r="I79" s="23" t="str">
        <f aca="false">IF($D79="","",IFERROR(INDEX(モデル一覧!$D:$D,MATCH($D79,モデル一覧!$A:$A,0)),"IDなし"))</f>
        <v/>
      </c>
      <c r="J79" s="23" t="str">
        <f aca="false">IF($D79="","",IFERROR(INDEX(モデル一覧!$E:$E,MATCH($D79,モデル一覧!$A:$A,0)),"IDなし"))</f>
        <v/>
      </c>
      <c r="K79" s="24" t="str">
        <f aca="false">IF($D79="","",IFERROR(IF(INDEX(モデル一覧!$L:$L,MATCH($D79,モデル一覧!$A:$A,0))="","",DATE(INDEX(モデル一覧!$K:$K,MATCH($D79,モデル一覧!$A:$A,0)),INDEX(モデル一覧!$L:$L,MATCH($D79,モデル一覧!$A:$A,0)),1)),""))</f>
        <v/>
      </c>
      <c r="L79" s="25" t="str">
        <f aca="false">IF(OR($F79="",$G79=""),"",(YEAR($F79)-YEAR($G79))*12+MONTH($F79)-MONTH($G79))</f>
        <v/>
      </c>
      <c r="M79" s="25" t="str">
        <f aca="false">IF(OR($F79="",$K79=""),"",(YEAR($F79)-YEAR($K79))*12+MONTH($F79)-MONTH($K79))</f>
        <v/>
      </c>
      <c r="N79" s="23" t="str">
        <f aca="false">IF($L79="","",IF(ABS($L79)&lt;=3,"整合",IF($L79&gt;3,"S&amp;P先行：SOP・生産国・世代を確認","ML先行：旧世代込み・先行登録を確認")))</f>
        <v/>
      </c>
      <c r="O79" s="22"/>
      <c r="P79" s="19"/>
    </row>
    <row r="80" customFormat="false" ht="15" hidden="false" customHeight="false" outlineLevel="0" collapsed="false">
      <c r="A80" s="19"/>
      <c r="B80" s="19"/>
      <c r="C80" s="19"/>
      <c r="D80" s="20"/>
      <c r="E80" s="21"/>
      <c r="F80" s="22"/>
      <c r="G80" s="22"/>
      <c r="H80" s="21"/>
      <c r="I80" s="23" t="str">
        <f aca="false">IF($D80="","",IFERROR(INDEX(モデル一覧!$D:$D,MATCH($D80,モデル一覧!$A:$A,0)),"IDなし"))</f>
        <v/>
      </c>
      <c r="J80" s="23" t="str">
        <f aca="false">IF($D80="","",IFERROR(INDEX(モデル一覧!$E:$E,MATCH($D80,モデル一覧!$A:$A,0)),"IDなし"))</f>
        <v/>
      </c>
      <c r="K80" s="24" t="str">
        <f aca="false">IF($D80="","",IFERROR(IF(INDEX(モデル一覧!$L:$L,MATCH($D80,モデル一覧!$A:$A,0))="","",DATE(INDEX(モデル一覧!$K:$K,MATCH($D80,モデル一覧!$A:$A,0)),INDEX(モデル一覧!$L:$L,MATCH($D80,モデル一覧!$A:$A,0)),1)),""))</f>
        <v/>
      </c>
      <c r="L80" s="25" t="str">
        <f aca="false">IF(OR($F80="",$G80=""),"",(YEAR($F80)-YEAR($G80))*12+MONTH($F80)-MONTH($G80))</f>
        <v/>
      </c>
      <c r="M80" s="25" t="str">
        <f aca="false">IF(OR($F80="",$K80=""),"",(YEAR($F80)-YEAR($K80))*12+MONTH($F80)-MONTH($K80))</f>
        <v/>
      </c>
      <c r="N80" s="23" t="str">
        <f aca="false">IF($L80="","",IF(ABS($L80)&lt;=3,"整合",IF($L80&gt;3,"S&amp;P先行：SOP・生産国・世代を確認","ML先行：旧世代込み・先行登録を確認")))</f>
        <v/>
      </c>
      <c r="O80" s="22"/>
      <c r="P80" s="19"/>
    </row>
    <row r="81" customFormat="false" ht="15" hidden="false" customHeight="false" outlineLevel="0" collapsed="false">
      <c r="A81" s="19"/>
      <c r="B81" s="19"/>
      <c r="C81" s="19"/>
      <c r="D81" s="20"/>
      <c r="E81" s="21"/>
      <c r="F81" s="22"/>
      <c r="G81" s="22"/>
      <c r="H81" s="21"/>
      <c r="I81" s="23" t="str">
        <f aca="false">IF($D81="","",IFERROR(INDEX(モデル一覧!$D:$D,MATCH($D81,モデル一覧!$A:$A,0)),"IDなし"))</f>
        <v/>
      </c>
      <c r="J81" s="23" t="str">
        <f aca="false">IF($D81="","",IFERROR(INDEX(モデル一覧!$E:$E,MATCH($D81,モデル一覧!$A:$A,0)),"IDなし"))</f>
        <v/>
      </c>
      <c r="K81" s="24" t="str">
        <f aca="false">IF($D81="","",IFERROR(IF(INDEX(モデル一覧!$L:$L,MATCH($D81,モデル一覧!$A:$A,0))="","",DATE(INDEX(モデル一覧!$K:$K,MATCH($D81,モデル一覧!$A:$A,0)),INDEX(モデル一覧!$L:$L,MATCH($D81,モデル一覧!$A:$A,0)),1)),""))</f>
        <v/>
      </c>
      <c r="L81" s="25" t="str">
        <f aca="false">IF(OR($F81="",$G81=""),"",(YEAR($F81)-YEAR($G81))*12+MONTH($F81)-MONTH($G81))</f>
        <v/>
      </c>
      <c r="M81" s="25" t="str">
        <f aca="false">IF(OR($F81="",$K81=""),"",(YEAR($F81)-YEAR($K81))*12+MONTH($F81)-MONTH($K81))</f>
        <v/>
      </c>
      <c r="N81" s="23" t="str">
        <f aca="false">IF($L81="","",IF(ABS($L81)&lt;=3,"整合",IF($L81&gt;3,"S&amp;P先行：SOP・生産国・世代を確認","ML先行：旧世代込み・先行登録を確認")))</f>
        <v/>
      </c>
      <c r="O81" s="22"/>
      <c r="P81" s="19"/>
    </row>
    <row r="82" customFormat="false" ht="15" hidden="false" customHeight="false" outlineLevel="0" collapsed="false">
      <c r="A82" s="19"/>
      <c r="B82" s="19"/>
      <c r="C82" s="19"/>
      <c r="D82" s="20"/>
      <c r="E82" s="21"/>
      <c r="F82" s="22"/>
      <c r="G82" s="22"/>
      <c r="H82" s="21"/>
      <c r="I82" s="23" t="str">
        <f aca="false">IF($D82="","",IFERROR(INDEX(モデル一覧!$D:$D,MATCH($D82,モデル一覧!$A:$A,0)),"IDなし"))</f>
        <v/>
      </c>
      <c r="J82" s="23" t="str">
        <f aca="false">IF($D82="","",IFERROR(INDEX(モデル一覧!$E:$E,MATCH($D82,モデル一覧!$A:$A,0)),"IDなし"))</f>
        <v/>
      </c>
      <c r="K82" s="24" t="str">
        <f aca="false">IF($D82="","",IFERROR(IF(INDEX(モデル一覧!$L:$L,MATCH($D82,モデル一覧!$A:$A,0))="","",DATE(INDEX(モデル一覧!$K:$K,MATCH($D82,モデル一覧!$A:$A,0)),INDEX(モデル一覧!$L:$L,MATCH($D82,モデル一覧!$A:$A,0)),1)),""))</f>
        <v/>
      </c>
      <c r="L82" s="25" t="str">
        <f aca="false">IF(OR($F82="",$G82=""),"",(YEAR($F82)-YEAR($G82))*12+MONTH($F82)-MONTH($G82))</f>
        <v/>
      </c>
      <c r="M82" s="25" t="str">
        <f aca="false">IF(OR($F82="",$K82=""),"",(YEAR($F82)-YEAR($K82))*12+MONTH($F82)-MONTH($K82))</f>
        <v/>
      </c>
      <c r="N82" s="23" t="str">
        <f aca="false">IF($L82="","",IF(ABS($L82)&lt;=3,"整合",IF($L82&gt;3,"S&amp;P先行：SOP・生産国・世代を確認","ML先行：旧世代込み・先行登録を確認")))</f>
        <v/>
      </c>
      <c r="O82" s="22"/>
      <c r="P82" s="19"/>
    </row>
    <row r="83" customFormat="false" ht="15" hidden="false" customHeight="false" outlineLevel="0" collapsed="false">
      <c r="A83" s="19"/>
      <c r="B83" s="19"/>
      <c r="C83" s="19"/>
      <c r="D83" s="20"/>
      <c r="E83" s="21"/>
      <c r="F83" s="22"/>
      <c r="G83" s="22"/>
      <c r="H83" s="21"/>
      <c r="I83" s="23" t="str">
        <f aca="false">IF($D83="","",IFERROR(INDEX(モデル一覧!$D:$D,MATCH($D83,モデル一覧!$A:$A,0)),"IDなし"))</f>
        <v/>
      </c>
      <c r="J83" s="23" t="str">
        <f aca="false">IF($D83="","",IFERROR(INDEX(モデル一覧!$E:$E,MATCH($D83,モデル一覧!$A:$A,0)),"IDなし"))</f>
        <v/>
      </c>
      <c r="K83" s="24" t="str">
        <f aca="false">IF($D83="","",IFERROR(IF(INDEX(モデル一覧!$L:$L,MATCH($D83,モデル一覧!$A:$A,0))="","",DATE(INDEX(モデル一覧!$K:$K,MATCH($D83,モデル一覧!$A:$A,0)),INDEX(モデル一覧!$L:$L,MATCH($D83,モデル一覧!$A:$A,0)),1)),""))</f>
        <v/>
      </c>
      <c r="L83" s="25" t="str">
        <f aca="false">IF(OR($F83="",$G83=""),"",(YEAR($F83)-YEAR($G83))*12+MONTH($F83)-MONTH($G83))</f>
        <v/>
      </c>
      <c r="M83" s="25" t="str">
        <f aca="false">IF(OR($F83="",$K83=""),"",(YEAR($F83)-YEAR($K83))*12+MONTH($F83)-MONTH($K83))</f>
        <v/>
      </c>
      <c r="N83" s="23" t="str">
        <f aca="false">IF($L83="","",IF(ABS($L83)&lt;=3,"整合",IF($L83&gt;3,"S&amp;P先行：SOP・生産国・世代を確認","ML先行：旧世代込み・先行登録を確認")))</f>
        <v/>
      </c>
      <c r="O83" s="22"/>
      <c r="P83" s="19"/>
    </row>
    <row r="84" customFormat="false" ht="15" hidden="false" customHeight="false" outlineLevel="0" collapsed="false">
      <c r="A84" s="19"/>
      <c r="B84" s="19"/>
      <c r="C84" s="19"/>
      <c r="D84" s="20"/>
      <c r="E84" s="21"/>
      <c r="F84" s="22"/>
      <c r="G84" s="22"/>
      <c r="H84" s="21"/>
      <c r="I84" s="23" t="str">
        <f aca="false">IF($D84="","",IFERROR(INDEX(モデル一覧!$D:$D,MATCH($D84,モデル一覧!$A:$A,0)),"IDなし"))</f>
        <v/>
      </c>
      <c r="J84" s="23" t="str">
        <f aca="false">IF($D84="","",IFERROR(INDEX(モデル一覧!$E:$E,MATCH($D84,モデル一覧!$A:$A,0)),"IDなし"))</f>
        <v/>
      </c>
      <c r="K84" s="24" t="str">
        <f aca="false">IF($D84="","",IFERROR(IF(INDEX(モデル一覧!$L:$L,MATCH($D84,モデル一覧!$A:$A,0))="","",DATE(INDEX(モデル一覧!$K:$K,MATCH($D84,モデル一覧!$A:$A,0)),INDEX(モデル一覧!$L:$L,MATCH($D84,モデル一覧!$A:$A,0)),1)),""))</f>
        <v/>
      </c>
      <c r="L84" s="25" t="str">
        <f aca="false">IF(OR($F84="",$G84=""),"",(YEAR($F84)-YEAR($G84))*12+MONTH($F84)-MONTH($G84))</f>
        <v/>
      </c>
      <c r="M84" s="25" t="str">
        <f aca="false">IF(OR($F84="",$K84=""),"",(YEAR($F84)-YEAR($K84))*12+MONTH($F84)-MONTH($K84))</f>
        <v/>
      </c>
      <c r="N84" s="23" t="str">
        <f aca="false">IF($L84="","",IF(ABS($L84)&lt;=3,"整合",IF($L84&gt;3,"S&amp;P先行：SOP・生産国・世代を確認","ML先行：旧世代込み・先行登録を確認")))</f>
        <v/>
      </c>
      <c r="O84" s="22"/>
      <c r="P84" s="19"/>
    </row>
    <row r="85" customFormat="false" ht="15" hidden="false" customHeight="false" outlineLevel="0" collapsed="false">
      <c r="A85" s="19"/>
      <c r="B85" s="19"/>
      <c r="C85" s="19"/>
      <c r="D85" s="20"/>
      <c r="E85" s="21"/>
      <c r="F85" s="22"/>
      <c r="G85" s="22"/>
      <c r="H85" s="21"/>
      <c r="I85" s="23" t="str">
        <f aca="false">IF($D85="","",IFERROR(INDEX(モデル一覧!$D:$D,MATCH($D85,モデル一覧!$A:$A,0)),"IDなし"))</f>
        <v/>
      </c>
      <c r="J85" s="23" t="str">
        <f aca="false">IF($D85="","",IFERROR(INDEX(モデル一覧!$E:$E,MATCH($D85,モデル一覧!$A:$A,0)),"IDなし"))</f>
        <v/>
      </c>
      <c r="K85" s="24" t="str">
        <f aca="false">IF($D85="","",IFERROR(IF(INDEX(モデル一覧!$L:$L,MATCH($D85,モデル一覧!$A:$A,0))="","",DATE(INDEX(モデル一覧!$K:$K,MATCH($D85,モデル一覧!$A:$A,0)),INDEX(モデル一覧!$L:$L,MATCH($D85,モデル一覧!$A:$A,0)),1)),""))</f>
        <v/>
      </c>
      <c r="L85" s="25" t="str">
        <f aca="false">IF(OR($F85="",$G85=""),"",(YEAR($F85)-YEAR($G85))*12+MONTH($F85)-MONTH($G85))</f>
        <v/>
      </c>
      <c r="M85" s="25" t="str">
        <f aca="false">IF(OR($F85="",$K85=""),"",(YEAR($F85)-YEAR($K85))*12+MONTH($F85)-MONTH($K85))</f>
        <v/>
      </c>
      <c r="N85" s="23" t="str">
        <f aca="false">IF($L85="","",IF(ABS($L85)&lt;=3,"整合",IF($L85&gt;3,"S&amp;P先行：SOP・生産国・世代を確認","ML先行：旧世代込み・先行登録を確認")))</f>
        <v/>
      </c>
      <c r="O85" s="22"/>
      <c r="P85" s="19"/>
    </row>
    <row r="86" customFormat="false" ht="15" hidden="false" customHeight="false" outlineLevel="0" collapsed="false">
      <c r="A86" s="19"/>
      <c r="B86" s="19"/>
      <c r="C86" s="19"/>
      <c r="D86" s="20"/>
      <c r="E86" s="21"/>
      <c r="F86" s="22"/>
      <c r="G86" s="22"/>
      <c r="H86" s="21"/>
      <c r="I86" s="23" t="str">
        <f aca="false">IF($D86="","",IFERROR(INDEX(モデル一覧!$D:$D,MATCH($D86,モデル一覧!$A:$A,0)),"IDなし"))</f>
        <v/>
      </c>
      <c r="J86" s="23" t="str">
        <f aca="false">IF($D86="","",IFERROR(INDEX(モデル一覧!$E:$E,MATCH($D86,モデル一覧!$A:$A,0)),"IDなし"))</f>
        <v/>
      </c>
      <c r="K86" s="24" t="str">
        <f aca="false">IF($D86="","",IFERROR(IF(INDEX(モデル一覧!$L:$L,MATCH($D86,モデル一覧!$A:$A,0))="","",DATE(INDEX(モデル一覧!$K:$K,MATCH($D86,モデル一覧!$A:$A,0)),INDEX(モデル一覧!$L:$L,MATCH($D86,モデル一覧!$A:$A,0)),1)),""))</f>
        <v/>
      </c>
      <c r="L86" s="25" t="str">
        <f aca="false">IF(OR($F86="",$G86=""),"",(YEAR($F86)-YEAR($G86))*12+MONTH($F86)-MONTH($G86))</f>
        <v/>
      </c>
      <c r="M86" s="25" t="str">
        <f aca="false">IF(OR($F86="",$K86=""),"",(YEAR($F86)-YEAR($K86))*12+MONTH($F86)-MONTH($K86))</f>
        <v/>
      </c>
      <c r="N86" s="23" t="str">
        <f aca="false">IF($L86="","",IF(ABS($L86)&lt;=3,"整合",IF($L86&gt;3,"S&amp;P先行：SOP・生産国・世代を確認","ML先行：旧世代込み・先行登録を確認")))</f>
        <v/>
      </c>
      <c r="O86" s="22"/>
      <c r="P86" s="19"/>
    </row>
    <row r="87" customFormat="false" ht="15" hidden="false" customHeight="false" outlineLevel="0" collapsed="false">
      <c r="A87" s="19"/>
      <c r="B87" s="19"/>
      <c r="C87" s="19"/>
      <c r="D87" s="20"/>
      <c r="E87" s="21"/>
      <c r="F87" s="22"/>
      <c r="G87" s="22"/>
      <c r="H87" s="21"/>
      <c r="I87" s="23" t="str">
        <f aca="false">IF($D87="","",IFERROR(INDEX(モデル一覧!$D:$D,MATCH($D87,モデル一覧!$A:$A,0)),"IDなし"))</f>
        <v/>
      </c>
      <c r="J87" s="23" t="str">
        <f aca="false">IF($D87="","",IFERROR(INDEX(モデル一覧!$E:$E,MATCH($D87,モデル一覧!$A:$A,0)),"IDなし"))</f>
        <v/>
      </c>
      <c r="K87" s="24" t="str">
        <f aca="false">IF($D87="","",IFERROR(IF(INDEX(モデル一覧!$L:$L,MATCH($D87,モデル一覧!$A:$A,0))="","",DATE(INDEX(モデル一覧!$K:$K,MATCH($D87,モデル一覧!$A:$A,0)),INDEX(モデル一覧!$L:$L,MATCH($D87,モデル一覧!$A:$A,0)),1)),""))</f>
        <v/>
      </c>
      <c r="L87" s="25" t="str">
        <f aca="false">IF(OR($F87="",$G87=""),"",(YEAR($F87)-YEAR($G87))*12+MONTH($F87)-MONTH($G87))</f>
        <v/>
      </c>
      <c r="M87" s="25" t="str">
        <f aca="false">IF(OR($F87="",$K87=""),"",(YEAR($F87)-YEAR($K87))*12+MONTH($F87)-MONTH($K87))</f>
        <v/>
      </c>
      <c r="N87" s="23" t="str">
        <f aca="false">IF($L87="","",IF(ABS($L87)&lt;=3,"整合",IF($L87&gt;3,"S&amp;P先行：SOP・生産国・世代を確認","ML先行：旧世代込み・先行登録を確認")))</f>
        <v/>
      </c>
      <c r="O87" s="22"/>
      <c r="P87" s="19"/>
    </row>
    <row r="88" customFormat="false" ht="15" hidden="false" customHeight="false" outlineLevel="0" collapsed="false">
      <c r="A88" s="19"/>
      <c r="B88" s="19"/>
      <c r="C88" s="19"/>
      <c r="D88" s="20"/>
      <c r="E88" s="21"/>
      <c r="F88" s="22"/>
      <c r="G88" s="22"/>
      <c r="H88" s="21"/>
      <c r="I88" s="23" t="str">
        <f aca="false">IF($D88="","",IFERROR(INDEX(モデル一覧!$D:$D,MATCH($D88,モデル一覧!$A:$A,0)),"IDなし"))</f>
        <v/>
      </c>
      <c r="J88" s="23" t="str">
        <f aca="false">IF($D88="","",IFERROR(INDEX(モデル一覧!$E:$E,MATCH($D88,モデル一覧!$A:$A,0)),"IDなし"))</f>
        <v/>
      </c>
      <c r="K88" s="24" t="str">
        <f aca="false">IF($D88="","",IFERROR(IF(INDEX(モデル一覧!$L:$L,MATCH($D88,モデル一覧!$A:$A,0))="","",DATE(INDEX(モデル一覧!$K:$K,MATCH($D88,モデル一覧!$A:$A,0)),INDEX(モデル一覧!$L:$L,MATCH($D88,モデル一覧!$A:$A,0)),1)),""))</f>
        <v/>
      </c>
      <c r="L88" s="25" t="str">
        <f aca="false">IF(OR($F88="",$G88=""),"",(YEAR($F88)-YEAR($G88))*12+MONTH($F88)-MONTH($G88))</f>
        <v/>
      </c>
      <c r="M88" s="25" t="str">
        <f aca="false">IF(OR($F88="",$K88=""),"",(YEAR($F88)-YEAR($K88))*12+MONTH($F88)-MONTH($K88))</f>
        <v/>
      </c>
      <c r="N88" s="23" t="str">
        <f aca="false">IF($L88="","",IF(ABS($L88)&lt;=3,"整合",IF($L88&gt;3,"S&amp;P先行：SOP・生産国・世代を確認","ML先行：旧世代込み・先行登録を確認")))</f>
        <v/>
      </c>
      <c r="O88" s="22"/>
      <c r="P88" s="19"/>
    </row>
    <row r="89" customFormat="false" ht="15" hidden="false" customHeight="false" outlineLevel="0" collapsed="false">
      <c r="A89" s="19"/>
      <c r="B89" s="19"/>
      <c r="C89" s="19"/>
      <c r="D89" s="20"/>
      <c r="E89" s="21"/>
      <c r="F89" s="22"/>
      <c r="G89" s="22"/>
      <c r="H89" s="21"/>
      <c r="I89" s="23" t="str">
        <f aca="false">IF($D89="","",IFERROR(INDEX(モデル一覧!$D:$D,MATCH($D89,モデル一覧!$A:$A,0)),"IDなし"))</f>
        <v/>
      </c>
      <c r="J89" s="23" t="str">
        <f aca="false">IF($D89="","",IFERROR(INDEX(モデル一覧!$E:$E,MATCH($D89,モデル一覧!$A:$A,0)),"IDなし"))</f>
        <v/>
      </c>
      <c r="K89" s="24" t="str">
        <f aca="false">IF($D89="","",IFERROR(IF(INDEX(モデル一覧!$L:$L,MATCH($D89,モデル一覧!$A:$A,0))="","",DATE(INDEX(モデル一覧!$K:$K,MATCH($D89,モデル一覧!$A:$A,0)),INDEX(モデル一覧!$L:$L,MATCH($D89,モデル一覧!$A:$A,0)),1)),""))</f>
        <v/>
      </c>
      <c r="L89" s="25" t="str">
        <f aca="false">IF(OR($F89="",$G89=""),"",(YEAR($F89)-YEAR($G89))*12+MONTH($F89)-MONTH($G89))</f>
        <v/>
      </c>
      <c r="M89" s="25" t="str">
        <f aca="false">IF(OR($F89="",$K89=""),"",(YEAR($F89)-YEAR($K89))*12+MONTH($F89)-MONTH($K89))</f>
        <v/>
      </c>
      <c r="N89" s="23" t="str">
        <f aca="false">IF($L89="","",IF(ABS($L89)&lt;=3,"整合",IF($L89&gt;3,"S&amp;P先行：SOP・生産国・世代を確認","ML先行：旧世代込み・先行登録を確認")))</f>
        <v/>
      </c>
      <c r="O89" s="22"/>
      <c r="P89" s="19"/>
    </row>
    <row r="90" customFormat="false" ht="15" hidden="false" customHeight="false" outlineLevel="0" collapsed="false">
      <c r="A90" s="19"/>
      <c r="B90" s="19"/>
      <c r="C90" s="19"/>
      <c r="D90" s="20"/>
      <c r="E90" s="21"/>
      <c r="F90" s="22"/>
      <c r="G90" s="22"/>
      <c r="H90" s="21"/>
      <c r="I90" s="23" t="str">
        <f aca="false">IF($D90="","",IFERROR(INDEX(モデル一覧!$D:$D,MATCH($D90,モデル一覧!$A:$A,0)),"IDなし"))</f>
        <v/>
      </c>
      <c r="J90" s="23" t="str">
        <f aca="false">IF($D90="","",IFERROR(INDEX(モデル一覧!$E:$E,MATCH($D90,モデル一覧!$A:$A,0)),"IDなし"))</f>
        <v/>
      </c>
      <c r="K90" s="24" t="str">
        <f aca="false">IF($D90="","",IFERROR(IF(INDEX(モデル一覧!$L:$L,MATCH($D90,モデル一覧!$A:$A,0))="","",DATE(INDEX(モデル一覧!$K:$K,MATCH($D90,モデル一覧!$A:$A,0)),INDEX(モデル一覧!$L:$L,MATCH($D90,モデル一覧!$A:$A,0)),1)),""))</f>
        <v/>
      </c>
      <c r="L90" s="25" t="str">
        <f aca="false">IF(OR($F90="",$G90=""),"",(YEAR($F90)-YEAR($G90))*12+MONTH($F90)-MONTH($G90))</f>
        <v/>
      </c>
      <c r="M90" s="25" t="str">
        <f aca="false">IF(OR($F90="",$K90=""),"",(YEAR($F90)-YEAR($K90))*12+MONTH($F90)-MONTH($K90))</f>
        <v/>
      </c>
      <c r="N90" s="23" t="str">
        <f aca="false">IF($L90="","",IF(ABS($L90)&lt;=3,"整合",IF($L90&gt;3,"S&amp;P先行：SOP・生産国・世代を確認","ML先行：旧世代込み・先行登録を確認")))</f>
        <v/>
      </c>
      <c r="O90" s="22"/>
      <c r="P90" s="19"/>
    </row>
    <row r="91" customFormat="false" ht="15" hidden="false" customHeight="false" outlineLevel="0" collapsed="false">
      <c r="A91" s="19"/>
      <c r="B91" s="19"/>
      <c r="C91" s="19"/>
      <c r="D91" s="20"/>
      <c r="E91" s="21"/>
      <c r="F91" s="22"/>
      <c r="G91" s="22"/>
      <c r="H91" s="21"/>
      <c r="I91" s="23" t="str">
        <f aca="false">IF($D91="","",IFERROR(INDEX(モデル一覧!$D:$D,MATCH($D91,モデル一覧!$A:$A,0)),"IDなし"))</f>
        <v/>
      </c>
      <c r="J91" s="23" t="str">
        <f aca="false">IF($D91="","",IFERROR(INDEX(モデル一覧!$E:$E,MATCH($D91,モデル一覧!$A:$A,0)),"IDなし"))</f>
        <v/>
      </c>
      <c r="K91" s="24" t="str">
        <f aca="false">IF($D91="","",IFERROR(IF(INDEX(モデル一覧!$L:$L,MATCH($D91,モデル一覧!$A:$A,0))="","",DATE(INDEX(モデル一覧!$K:$K,MATCH($D91,モデル一覧!$A:$A,0)),INDEX(モデル一覧!$L:$L,MATCH($D91,モデル一覧!$A:$A,0)),1)),""))</f>
        <v/>
      </c>
      <c r="L91" s="25" t="str">
        <f aca="false">IF(OR($F91="",$G91=""),"",(YEAR($F91)-YEAR($G91))*12+MONTH($F91)-MONTH($G91))</f>
        <v/>
      </c>
      <c r="M91" s="25" t="str">
        <f aca="false">IF(OR($F91="",$K91=""),"",(YEAR($F91)-YEAR($K91))*12+MONTH($F91)-MONTH($K91))</f>
        <v/>
      </c>
      <c r="N91" s="23" t="str">
        <f aca="false">IF($L91="","",IF(ABS($L91)&lt;=3,"整合",IF($L91&gt;3,"S&amp;P先行：SOP・生産国・世代を確認","ML先行：旧世代込み・先行登録を確認")))</f>
        <v/>
      </c>
      <c r="O91" s="22"/>
      <c r="P91" s="19"/>
    </row>
    <row r="92" customFormat="false" ht="15" hidden="false" customHeight="false" outlineLevel="0" collapsed="false">
      <c r="A92" s="19"/>
      <c r="B92" s="19"/>
      <c r="C92" s="19"/>
      <c r="D92" s="20"/>
      <c r="E92" s="21"/>
      <c r="F92" s="22"/>
      <c r="G92" s="22"/>
      <c r="H92" s="21"/>
      <c r="I92" s="23" t="str">
        <f aca="false">IF($D92="","",IFERROR(INDEX(モデル一覧!$D:$D,MATCH($D92,モデル一覧!$A:$A,0)),"IDなし"))</f>
        <v/>
      </c>
      <c r="J92" s="23" t="str">
        <f aca="false">IF($D92="","",IFERROR(INDEX(モデル一覧!$E:$E,MATCH($D92,モデル一覧!$A:$A,0)),"IDなし"))</f>
        <v/>
      </c>
      <c r="K92" s="24" t="str">
        <f aca="false">IF($D92="","",IFERROR(IF(INDEX(モデル一覧!$L:$L,MATCH($D92,モデル一覧!$A:$A,0))="","",DATE(INDEX(モデル一覧!$K:$K,MATCH($D92,モデル一覧!$A:$A,0)),INDEX(モデル一覧!$L:$L,MATCH($D92,モデル一覧!$A:$A,0)),1)),""))</f>
        <v/>
      </c>
      <c r="L92" s="25" t="str">
        <f aca="false">IF(OR($F92="",$G92=""),"",(YEAR($F92)-YEAR($G92))*12+MONTH($F92)-MONTH($G92))</f>
        <v/>
      </c>
      <c r="M92" s="25" t="str">
        <f aca="false">IF(OR($F92="",$K92=""),"",(YEAR($F92)-YEAR($K92))*12+MONTH($F92)-MONTH($K92))</f>
        <v/>
      </c>
      <c r="N92" s="23" t="str">
        <f aca="false">IF($L92="","",IF(ABS($L92)&lt;=3,"整合",IF($L92&gt;3,"S&amp;P先行：SOP・生産国・世代を確認","ML先行：旧世代込み・先行登録を確認")))</f>
        <v/>
      </c>
      <c r="O92" s="22"/>
      <c r="P92" s="19"/>
    </row>
    <row r="93" customFormat="false" ht="15" hidden="false" customHeight="false" outlineLevel="0" collapsed="false">
      <c r="A93" s="19"/>
      <c r="B93" s="19"/>
      <c r="C93" s="19"/>
      <c r="D93" s="20"/>
      <c r="E93" s="21"/>
      <c r="F93" s="22"/>
      <c r="G93" s="22"/>
      <c r="H93" s="21"/>
      <c r="I93" s="23" t="str">
        <f aca="false">IF($D93="","",IFERROR(INDEX(モデル一覧!$D:$D,MATCH($D93,モデル一覧!$A:$A,0)),"IDなし"))</f>
        <v/>
      </c>
      <c r="J93" s="23" t="str">
        <f aca="false">IF($D93="","",IFERROR(INDEX(モデル一覧!$E:$E,MATCH($D93,モデル一覧!$A:$A,0)),"IDなし"))</f>
        <v/>
      </c>
      <c r="K93" s="24" t="str">
        <f aca="false">IF($D93="","",IFERROR(IF(INDEX(モデル一覧!$L:$L,MATCH($D93,モデル一覧!$A:$A,0))="","",DATE(INDEX(モデル一覧!$K:$K,MATCH($D93,モデル一覧!$A:$A,0)),INDEX(モデル一覧!$L:$L,MATCH($D93,モデル一覧!$A:$A,0)),1)),""))</f>
        <v/>
      </c>
      <c r="L93" s="25" t="str">
        <f aca="false">IF(OR($F93="",$G93=""),"",(YEAR($F93)-YEAR($G93))*12+MONTH($F93)-MONTH($G93))</f>
        <v/>
      </c>
      <c r="M93" s="25" t="str">
        <f aca="false">IF(OR($F93="",$K93=""),"",(YEAR($F93)-YEAR($K93))*12+MONTH($F93)-MONTH($K93))</f>
        <v/>
      </c>
      <c r="N93" s="23" t="str">
        <f aca="false">IF($L93="","",IF(ABS($L93)&lt;=3,"整合",IF($L93&gt;3,"S&amp;P先行：SOP・生産国・世代を確認","ML先行：旧世代込み・先行登録を確認")))</f>
        <v/>
      </c>
      <c r="O93" s="22"/>
      <c r="P93" s="19"/>
    </row>
    <row r="94" customFormat="false" ht="15" hidden="false" customHeight="false" outlineLevel="0" collapsed="false">
      <c r="A94" s="19"/>
      <c r="B94" s="19"/>
      <c r="C94" s="19"/>
      <c r="D94" s="20"/>
      <c r="E94" s="21"/>
      <c r="F94" s="22"/>
      <c r="G94" s="22"/>
      <c r="H94" s="21"/>
      <c r="I94" s="23" t="str">
        <f aca="false">IF($D94="","",IFERROR(INDEX(モデル一覧!$D:$D,MATCH($D94,モデル一覧!$A:$A,0)),"IDなし"))</f>
        <v/>
      </c>
      <c r="J94" s="23" t="str">
        <f aca="false">IF($D94="","",IFERROR(INDEX(モデル一覧!$E:$E,MATCH($D94,モデル一覧!$A:$A,0)),"IDなし"))</f>
        <v/>
      </c>
      <c r="K94" s="24" t="str">
        <f aca="false">IF($D94="","",IFERROR(IF(INDEX(モデル一覧!$L:$L,MATCH($D94,モデル一覧!$A:$A,0))="","",DATE(INDEX(モデル一覧!$K:$K,MATCH($D94,モデル一覧!$A:$A,0)),INDEX(モデル一覧!$L:$L,MATCH($D94,モデル一覧!$A:$A,0)),1)),""))</f>
        <v/>
      </c>
      <c r="L94" s="25" t="str">
        <f aca="false">IF(OR($F94="",$G94=""),"",(YEAR($F94)-YEAR($G94))*12+MONTH($F94)-MONTH($G94))</f>
        <v/>
      </c>
      <c r="M94" s="25" t="str">
        <f aca="false">IF(OR($F94="",$K94=""),"",(YEAR($F94)-YEAR($K94))*12+MONTH($F94)-MONTH($K94))</f>
        <v/>
      </c>
      <c r="N94" s="23" t="str">
        <f aca="false">IF($L94="","",IF(ABS($L94)&lt;=3,"整合",IF($L94&gt;3,"S&amp;P先行：SOP・生産国・世代を確認","ML先行：旧世代込み・先行登録を確認")))</f>
        <v/>
      </c>
      <c r="O94" s="22"/>
      <c r="P94" s="19"/>
    </row>
    <row r="95" customFormat="false" ht="15" hidden="false" customHeight="false" outlineLevel="0" collapsed="false">
      <c r="A95" s="19"/>
      <c r="B95" s="19"/>
      <c r="C95" s="19"/>
      <c r="D95" s="20"/>
      <c r="E95" s="21"/>
      <c r="F95" s="22"/>
      <c r="G95" s="22"/>
      <c r="H95" s="21"/>
      <c r="I95" s="23" t="str">
        <f aca="false">IF($D95="","",IFERROR(INDEX(モデル一覧!$D:$D,MATCH($D95,モデル一覧!$A:$A,0)),"IDなし"))</f>
        <v/>
      </c>
      <c r="J95" s="23" t="str">
        <f aca="false">IF($D95="","",IFERROR(INDEX(モデル一覧!$E:$E,MATCH($D95,モデル一覧!$A:$A,0)),"IDなし"))</f>
        <v/>
      </c>
      <c r="K95" s="24" t="str">
        <f aca="false">IF($D95="","",IFERROR(IF(INDEX(モデル一覧!$L:$L,MATCH($D95,モデル一覧!$A:$A,0))="","",DATE(INDEX(モデル一覧!$K:$K,MATCH($D95,モデル一覧!$A:$A,0)),INDEX(モデル一覧!$L:$L,MATCH($D95,モデル一覧!$A:$A,0)),1)),""))</f>
        <v/>
      </c>
      <c r="L95" s="25" t="str">
        <f aca="false">IF(OR($F95="",$G95=""),"",(YEAR($F95)-YEAR($G95))*12+MONTH($F95)-MONTH($G95))</f>
        <v/>
      </c>
      <c r="M95" s="25" t="str">
        <f aca="false">IF(OR($F95="",$K95=""),"",(YEAR($F95)-YEAR($K95))*12+MONTH($F95)-MONTH($K95))</f>
        <v/>
      </c>
      <c r="N95" s="23" t="str">
        <f aca="false">IF($L95="","",IF(ABS($L95)&lt;=3,"整合",IF($L95&gt;3,"S&amp;P先行：SOP・生産国・世代を確認","ML先行：旧世代込み・先行登録を確認")))</f>
        <v/>
      </c>
      <c r="O95" s="22"/>
      <c r="P95" s="19"/>
    </row>
    <row r="96" customFormat="false" ht="15" hidden="false" customHeight="false" outlineLevel="0" collapsed="false">
      <c r="A96" s="19"/>
      <c r="B96" s="19"/>
      <c r="C96" s="19"/>
      <c r="D96" s="20"/>
      <c r="E96" s="21"/>
      <c r="F96" s="22"/>
      <c r="G96" s="22"/>
      <c r="H96" s="21"/>
      <c r="I96" s="23" t="str">
        <f aca="false">IF($D96="","",IFERROR(INDEX(モデル一覧!$D:$D,MATCH($D96,モデル一覧!$A:$A,0)),"IDなし"))</f>
        <v/>
      </c>
      <c r="J96" s="23" t="str">
        <f aca="false">IF($D96="","",IFERROR(INDEX(モデル一覧!$E:$E,MATCH($D96,モデル一覧!$A:$A,0)),"IDなし"))</f>
        <v/>
      </c>
      <c r="K96" s="24" t="str">
        <f aca="false">IF($D96="","",IFERROR(IF(INDEX(モデル一覧!$L:$L,MATCH($D96,モデル一覧!$A:$A,0))="","",DATE(INDEX(モデル一覧!$K:$K,MATCH($D96,モデル一覧!$A:$A,0)),INDEX(モデル一覧!$L:$L,MATCH($D96,モデル一覧!$A:$A,0)),1)),""))</f>
        <v/>
      </c>
      <c r="L96" s="25" t="str">
        <f aca="false">IF(OR($F96="",$G96=""),"",(YEAR($F96)-YEAR($G96))*12+MONTH($F96)-MONTH($G96))</f>
        <v/>
      </c>
      <c r="M96" s="25" t="str">
        <f aca="false">IF(OR($F96="",$K96=""),"",(YEAR($F96)-YEAR($K96))*12+MONTH($F96)-MONTH($K96))</f>
        <v/>
      </c>
      <c r="N96" s="23" t="str">
        <f aca="false">IF($L96="","",IF(ABS($L96)&lt;=3,"整合",IF($L96&gt;3,"S&amp;P先行：SOP・生産国・世代を確認","ML先行：旧世代込み・先行登録を確認")))</f>
        <v/>
      </c>
      <c r="O96" s="22"/>
      <c r="P96" s="19"/>
    </row>
    <row r="97" customFormat="false" ht="15" hidden="false" customHeight="false" outlineLevel="0" collapsed="false">
      <c r="A97" s="19"/>
      <c r="B97" s="19"/>
      <c r="C97" s="19"/>
      <c r="D97" s="20"/>
      <c r="E97" s="21"/>
      <c r="F97" s="22"/>
      <c r="G97" s="22"/>
      <c r="H97" s="21"/>
      <c r="I97" s="23" t="str">
        <f aca="false">IF($D97="","",IFERROR(INDEX(モデル一覧!$D:$D,MATCH($D97,モデル一覧!$A:$A,0)),"IDなし"))</f>
        <v/>
      </c>
      <c r="J97" s="23" t="str">
        <f aca="false">IF($D97="","",IFERROR(INDEX(モデル一覧!$E:$E,MATCH($D97,モデル一覧!$A:$A,0)),"IDなし"))</f>
        <v/>
      </c>
      <c r="K97" s="24" t="str">
        <f aca="false">IF($D97="","",IFERROR(IF(INDEX(モデル一覧!$L:$L,MATCH($D97,モデル一覧!$A:$A,0))="","",DATE(INDEX(モデル一覧!$K:$K,MATCH($D97,モデル一覧!$A:$A,0)),INDEX(モデル一覧!$L:$L,MATCH($D97,モデル一覧!$A:$A,0)),1)),""))</f>
        <v/>
      </c>
      <c r="L97" s="25" t="str">
        <f aca="false">IF(OR($F97="",$G97=""),"",(YEAR($F97)-YEAR($G97))*12+MONTH($F97)-MONTH($G97))</f>
        <v/>
      </c>
      <c r="M97" s="25" t="str">
        <f aca="false">IF(OR($F97="",$K97=""),"",(YEAR($F97)-YEAR($K97))*12+MONTH($F97)-MONTH($K97))</f>
        <v/>
      </c>
      <c r="N97" s="23" t="str">
        <f aca="false">IF($L97="","",IF(ABS($L97)&lt;=3,"整合",IF($L97&gt;3,"S&amp;P先行：SOP・生産国・世代を確認","ML先行：旧世代込み・先行登録を確認")))</f>
        <v/>
      </c>
      <c r="O97" s="22"/>
      <c r="P97" s="19"/>
    </row>
    <row r="98" customFormat="false" ht="15" hidden="false" customHeight="false" outlineLevel="0" collapsed="false">
      <c r="A98" s="19"/>
      <c r="B98" s="19"/>
      <c r="C98" s="19"/>
      <c r="D98" s="20"/>
      <c r="E98" s="21"/>
      <c r="F98" s="22"/>
      <c r="G98" s="22"/>
      <c r="H98" s="21"/>
      <c r="I98" s="23" t="str">
        <f aca="false">IF($D98="","",IFERROR(INDEX(モデル一覧!$D:$D,MATCH($D98,モデル一覧!$A:$A,0)),"IDなし"))</f>
        <v/>
      </c>
      <c r="J98" s="23" t="str">
        <f aca="false">IF($D98="","",IFERROR(INDEX(モデル一覧!$E:$E,MATCH($D98,モデル一覧!$A:$A,0)),"IDなし"))</f>
        <v/>
      </c>
      <c r="K98" s="24" t="str">
        <f aca="false">IF($D98="","",IFERROR(IF(INDEX(モデル一覧!$L:$L,MATCH($D98,モデル一覧!$A:$A,0))="","",DATE(INDEX(モデル一覧!$K:$K,MATCH($D98,モデル一覧!$A:$A,0)),INDEX(モデル一覧!$L:$L,MATCH($D98,モデル一覧!$A:$A,0)),1)),""))</f>
        <v/>
      </c>
      <c r="L98" s="25" t="str">
        <f aca="false">IF(OR($F98="",$G98=""),"",(YEAR($F98)-YEAR($G98))*12+MONTH($F98)-MONTH($G98))</f>
        <v/>
      </c>
      <c r="M98" s="25" t="str">
        <f aca="false">IF(OR($F98="",$K98=""),"",(YEAR($F98)-YEAR($K98))*12+MONTH($F98)-MONTH($K98))</f>
        <v/>
      </c>
      <c r="N98" s="23" t="str">
        <f aca="false">IF($L98="","",IF(ABS($L98)&lt;=3,"整合",IF($L98&gt;3,"S&amp;P先行：SOP・生産国・世代を確認","ML先行：旧世代込み・先行登録を確認")))</f>
        <v/>
      </c>
      <c r="O98" s="22"/>
      <c r="P98" s="19"/>
    </row>
    <row r="99" customFormat="false" ht="15" hidden="false" customHeight="false" outlineLevel="0" collapsed="false">
      <c r="A99" s="19"/>
      <c r="B99" s="19"/>
      <c r="C99" s="19"/>
      <c r="D99" s="20"/>
      <c r="E99" s="21"/>
      <c r="F99" s="22"/>
      <c r="G99" s="22"/>
      <c r="H99" s="21"/>
      <c r="I99" s="23" t="str">
        <f aca="false">IF($D99="","",IFERROR(INDEX(モデル一覧!$D:$D,MATCH($D99,モデル一覧!$A:$A,0)),"IDなし"))</f>
        <v/>
      </c>
      <c r="J99" s="23" t="str">
        <f aca="false">IF($D99="","",IFERROR(INDEX(モデル一覧!$E:$E,MATCH($D99,モデル一覧!$A:$A,0)),"IDなし"))</f>
        <v/>
      </c>
      <c r="K99" s="24" t="str">
        <f aca="false">IF($D99="","",IFERROR(IF(INDEX(モデル一覧!$L:$L,MATCH($D99,モデル一覧!$A:$A,0))="","",DATE(INDEX(モデル一覧!$K:$K,MATCH($D99,モデル一覧!$A:$A,0)),INDEX(モデル一覧!$L:$L,MATCH($D99,モデル一覧!$A:$A,0)),1)),""))</f>
        <v/>
      </c>
      <c r="L99" s="25" t="str">
        <f aca="false">IF(OR($F99="",$G99=""),"",(YEAR($F99)-YEAR($G99))*12+MONTH($F99)-MONTH($G99))</f>
        <v/>
      </c>
      <c r="M99" s="25" t="str">
        <f aca="false">IF(OR($F99="",$K99=""),"",(YEAR($F99)-YEAR($K99))*12+MONTH($F99)-MONTH($K99))</f>
        <v/>
      </c>
      <c r="N99" s="23" t="str">
        <f aca="false">IF($L99="","",IF(ABS($L99)&lt;=3,"整合",IF($L99&gt;3,"S&amp;P先行：SOP・生産国・世代を確認","ML先行：旧世代込み・先行登録を確認")))</f>
        <v/>
      </c>
      <c r="O99" s="22"/>
      <c r="P99" s="19"/>
    </row>
    <row r="100" customFormat="false" ht="15" hidden="false" customHeight="false" outlineLevel="0" collapsed="false">
      <c r="A100" s="19"/>
      <c r="B100" s="19"/>
      <c r="C100" s="19"/>
      <c r="D100" s="20"/>
      <c r="E100" s="21"/>
      <c r="F100" s="22"/>
      <c r="G100" s="22"/>
      <c r="H100" s="21"/>
      <c r="I100" s="23" t="str">
        <f aca="false">IF($D100="","",IFERROR(INDEX(モデル一覧!$D:$D,MATCH($D100,モデル一覧!$A:$A,0)),"IDなし"))</f>
        <v/>
      </c>
      <c r="J100" s="23" t="str">
        <f aca="false">IF($D100="","",IFERROR(INDEX(モデル一覧!$E:$E,MATCH($D100,モデル一覧!$A:$A,0)),"IDなし"))</f>
        <v/>
      </c>
      <c r="K100" s="24" t="str">
        <f aca="false">IF($D100="","",IFERROR(IF(INDEX(モデル一覧!$L:$L,MATCH($D100,モデル一覧!$A:$A,0))="","",DATE(INDEX(モデル一覧!$K:$K,MATCH($D100,モデル一覧!$A:$A,0)),INDEX(モデル一覧!$L:$L,MATCH($D100,モデル一覧!$A:$A,0)),1)),""))</f>
        <v/>
      </c>
      <c r="L100" s="25" t="str">
        <f aca="false">IF(OR($F100="",$G100=""),"",(YEAR($F100)-YEAR($G100))*12+MONTH($F100)-MONTH($G100))</f>
        <v/>
      </c>
      <c r="M100" s="25" t="str">
        <f aca="false">IF(OR($F100="",$K100=""),"",(YEAR($F100)-YEAR($K100))*12+MONTH($F100)-MONTH($K100))</f>
        <v/>
      </c>
      <c r="N100" s="23" t="str">
        <f aca="false">IF($L100="","",IF(ABS($L100)&lt;=3,"整合",IF($L100&gt;3,"S&amp;P先行：SOP・生産国・世代を確認","ML先行：旧世代込み・先行登録を確認")))</f>
        <v/>
      </c>
      <c r="O100" s="22"/>
      <c r="P100" s="19"/>
    </row>
    <row r="101" customFormat="false" ht="15" hidden="false" customHeight="false" outlineLevel="0" collapsed="false">
      <c r="A101" s="19"/>
      <c r="B101" s="19"/>
      <c r="C101" s="19"/>
      <c r="D101" s="20"/>
      <c r="E101" s="21"/>
      <c r="F101" s="22"/>
      <c r="G101" s="22"/>
      <c r="H101" s="21"/>
      <c r="I101" s="23" t="str">
        <f aca="false">IF($D101="","",IFERROR(INDEX(モデル一覧!$D:$D,MATCH($D101,モデル一覧!$A:$A,0)),"IDなし"))</f>
        <v/>
      </c>
      <c r="J101" s="23" t="str">
        <f aca="false">IF($D101="","",IFERROR(INDEX(モデル一覧!$E:$E,MATCH($D101,モデル一覧!$A:$A,0)),"IDなし"))</f>
        <v/>
      </c>
      <c r="K101" s="24" t="str">
        <f aca="false">IF($D101="","",IFERROR(IF(INDEX(モデル一覧!$L:$L,MATCH($D101,モデル一覧!$A:$A,0))="","",DATE(INDEX(モデル一覧!$K:$K,MATCH($D101,モデル一覧!$A:$A,0)),INDEX(モデル一覧!$L:$L,MATCH($D101,モデル一覧!$A:$A,0)),1)),""))</f>
        <v/>
      </c>
      <c r="L101" s="25" t="str">
        <f aca="false">IF(OR($F101="",$G101=""),"",(YEAR($F101)-YEAR($G101))*12+MONTH($F101)-MONTH($G101))</f>
        <v/>
      </c>
      <c r="M101" s="25" t="str">
        <f aca="false">IF(OR($F101="",$K101=""),"",(YEAR($F101)-YEAR($K101))*12+MONTH($F101)-MONTH($K101))</f>
        <v/>
      </c>
      <c r="N101" s="23" t="str">
        <f aca="false">IF($L101="","",IF(ABS($L101)&lt;=3,"整合",IF($L101&gt;3,"S&amp;P先行：SOP・生産国・世代を確認","ML先行：旧世代込み・先行登録を確認")))</f>
        <v/>
      </c>
      <c r="O101" s="22"/>
      <c r="P101" s="19"/>
    </row>
    <row r="102" customFormat="false" ht="15" hidden="false" customHeight="false" outlineLevel="0" collapsed="false">
      <c r="A102" s="19"/>
      <c r="B102" s="19"/>
      <c r="C102" s="19"/>
      <c r="D102" s="20"/>
      <c r="E102" s="21"/>
      <c r="F102" s="22"/>
      <c r="G102" s="22"/>
      <c r="H102" s="21"/>
      <c r="I102" s="23" t="str">
        <f aca="false">IF($D102="","",IFERROR(INDEX(モデル一覧!$D:$D,MATCH($D102,モデル一覧!$A:$A,0)),"IDなし"))</f>
        <v/>
      </c>
      <c r="J102" s="23" t="str">
        <f aca="false">IF($D102="","",IFERROR(INDEX(モデル一覧!$E:$E,MATCH($D102,モデル一覧!$A:$A,0)),"IDなし"))</f>
        <v/>
      </c>
      <c r="K102" s="24" t="str">
        <f aca="false">IF($D102="","",IFERROR(IF(INDEX(モデル一覧!$L:$L,MATCH($D102,モデル一覧!$A:$A,0))="","",DATE(INDEX(モデル一覧!$K:$K,MATCH($D102,モデル一覧!$A:$A,0)),INDEX(モデル一覧!$L:$L,MATCH($D102,モデル一覧!$A:$A,0)),1)),""))</f>
        <v/>
      </c>
      <c r="L102" s="25" t="str">
        <f aca="false">IF(OR($F102="",$G102=""),"",(YEAR($F102)-YEAR($G102))*12+MONTH($F102)-MONTH($G102))</f>
        <v/>
      </c>
      <c r="M102" s="25" t="str">
        <f aca="false">IF(OR($F102="",$K102=""),"",(YEAR($F102)-YEAR($K102))*12+MONTH($F102)-MONTH($K102))</f>
        <v/>
      </c>
      <c r="N102" s="23" t="str">
        <f aca="false">IF($L102="","",IF(ABS($L102)&lt;=3,"整合",IF($L102&gt;3,"S&amp;P先行：SOP・生産国・世代を確認","ML先行：旧世代込み・先行登録を確認")))</f>
        <v/>
      </c>
      <c r="O102" s="22"/>
      <c r="P102" s="19"/>
    </row>
    <row r="103" customFormat="false" ht="15" hidden="false" customHeight="false" outlineLevel="0" collapsed="false">
      <c r="A103" s="19"/>
      <c r="B103" s="19"/>
      <c r="C103" s="19"/>
      <c r="D103" s="20"/>
      <c r="E103" s="21"/>
      <c r="F103" s="22"/>
      <c r="G103" s="22"/>
      <c r="H103" s="21"/>
      <c r="I103" s="23" t="str">
        <f aca="false">IF($D103="","",IFERROR(INDEX(モデル一覧!$D:$D,MATCH($D103,モデル一覧!$A:$A,0)),"IDなし"))</f>
        <v/>
      </c>
      <c r="J103" s="23" t="str">
        <f aca="false">IF($D103="","",IFERROR(INDEX(モデル一覧!$E:$E,MATCH($D103,モデル一覧!$A:$A,0)),"IDなし"))</f>
        <v/>
      </c>
      <c r="K103" s="24" t="str">
        <f aca="false">IF($D103="","",IFERROR(IF(INDEX(モデル一覧!$L:$L,MATCH($D103,モデル一覧!$A:$A,0))="","",DATE(INDEX(モデル一覧!$K:$K,MATCH($D103,モデル一覧!$A:$A,0)),INDEX(モデル一覧!$L:$L,MATCH($D103,モデル一覧!$A:$A,0)),1)),""))</f>
        <v/>
      </c>
      <c r="L103" s="25" t="str">
        <f aca="false">IF(OR($F103="",$G103=""),"",(YEAR($F103)-YEAR($G103))*12+MONTH($F103)-MONTH($G103))</f>
        <v/>
      </c>
      <c r="M103" s="25" t="str">
        <f aca="false">IF(OR($F103="",$K103=""),"",(YEAR($F103)-YEAR($K103))*12+MONTH($F103)-MONTH($K103))</f>
        <v/>
      </c>
      <c r="N103" s="23" t="str">
        <f aca="false">IF($L103="","",IF(ABS($L103)&lt;=3,"整合",IF($L103&gt;3,"S&amp;P先行：SOP・生産国・世代を確認","ML先行：旧世代込み・先行登録を確認")))</f>
        <v/>
      </c>
      <c r="O103" s="22"/>
      <c r="P103" s="19"/>
    </row>
    <row r="104" customFormat="false" ht="15" hidden="false" customHeight="false" outlineLevel="0" collapsed="false">
      <c r="A104" s="19"/>
      <c r="B104" s="19"/>
      <c r="C104" s="19"/>
      <c r="D104" s="20"/>
      <c r="E104" s="21"/>
      <c r="F104" s="22"/>
      <c r="G104" s="22"/>
      <c r="H104" s="21"/>
      <c r="I104" s="23" t="str">
        <f aca="false">IF($D104="","",IFERROR(INDEX(モデル一覧!$D:$D,MATCH($D104,モデル一覧!$A:$A,0)),"IDなし"))</f>
        <v/>
      </c>
      <c r="J104" s="23" t="str">
        <f aca="false">IF($D104="","",IFERROR(INDEX(モデル一覧!$E:$E,MATCH($D104,モデル一覧!$A:$A,0)),"IDなし"))</f>
        <v/>
      </c>
      <c r="K104" s="24" t="str">
        <f aca="false">IF($D104="","",IFERROR(IF(INDEX(モデル一覧!$L:$L,MATCH($D104,モデル一覧!$A:$A,0))="","",DATE(INDEX(モデル一覧!$K:$K,MATCH($D104,モデル一覧!$A:$A,0)),INDEX(モデル一覧!$L:$L,MATCH($D104,モデル一覧!$A:$A,0)),1)),""))</f>
        <v/>
      </c>
      <c r="L104" s="25" t="str">
        <f aca="false">IF(OR($F104="",$G104=""),"",(YEAR($F104)-YEAR($G104))*12+MONTH($F104)-MONTH($G104))</f>
        <v/>
      </c>
      <c r="M104" s="25" t="str">
        <f aca="false">IF(OR($F104="",$K104=""),"",(YEAR($F104)-YEAR($K104))*12+MONTH($F104)-MONTH($K104))</f>
        <v/>
      </c>
      <c r="N104" s="23" t="str">
        <f aca="false">IF($L104="","",IF(ABS($L104)&lt;=3,"整合",IF($L104&gt;3,"S&amp;P先行：SOP・生産国・世代を確認","ML先行：旧世代込み・先行登録を確認")))</f>
        <v/>
      </c>
      <c r="O104" s="22"/>
      <c r="P104" s="19"/>
    </row>
    <row r="105" customFormat="false" ht="15" hidden="false" customHeight="false" outlineLevel="0" collapsed="false">
      <c r="A105" s="19"/>
      <c r="B105" s="19"/>
      <c r="C105" s="19"/>
      <c r="D105" s="20"/>
      <c r="E105" s="21"/>
      <c r="F105" s="22"/>
      <c r="G105" s="22"/>
      <c r="H105" s="21"/>
      <c r="I105" s="23" t="str">
        <f aca="false">IF($D105="","",IFERROR(INDEX(モデル一覧!$D:$D,MATCH($D105,モデル一覧!$A:$A,0)),"IDなし"))</f>
        <v/>
      </c>
      <c r="J105" s="23" t="str">
        <f aca="false">IF($D105="","",IFERROR(INDEX(モデル一覧!$E:$E,MATCH($D105,モデル一覧!$A:$A,0)),"IDなし"))</f>
        <v/>
      </c>
      <c r="K105" s="24" t="str">
        <f aca="false">IF($D105="","",IFERROR(IF(INDEX(モデル一覧!$L:$L,MATCH($D105,モデル一覧!$A:$A,0))="","",DATE(INDEX(モデル一覧!$K:$K,MATCH($D105,モデル一覧!$A:$A,0)),INDEX(モデル一覧!$L:$L,MATCH($D105,モデル一覧!$A:$A,0)),1)),""))</f>
        <v/>
      </c>
      <c r="L105" s="25" t="str">
        <f aca="false">IF(OR($F105="",$G105=""),"",(YEAR($F105)-YEAR($G105))*12+MONTH($F105)-MONTH($G105))</f>
        <v/>
      </c>
      <c r="M105" s="25" t="str">
        <f aca="false">IF(OR($F105="",$K105=""),"",(YEAR($F105)-YEAR($K105))*12+MONTH($F105)-MONTH($K105))</f>
        <v/>
      </c>
      <c r="N105" s="23" t="str">
        <f aca="false">IF($L105="","",IF(ABS($L105)&lt;=3,"整合",IF($L105&gt;3,"S&amp;P先行：SOP・生産国・世代を確認","ML先行：旧世代込み・先行登録を確認")))</f>
        <v/>
      </c>
      <c r="O105" s="22"/>
      <c r="P105" s="19"/>
    </row>
    <row r="106" customFormat="false" ht="15" hidden="false" customHeight="false" outlineLevel="0" collapsed="false">
      <c r="A106" s="19"/>
      <c r="B106" s="19"/>
      <c r="C106" s="19"/>
      <c r="D106" s="20"/>
      <c r="E106" s="21"/>
      <c r="F106" s="22"/>
      <c r="G106" s="22"/>
      <c r="H106" s="21"/>
      <c r="I106" s="23" t="str">
        <f aca="false">IF($D106="","",IFERROR(INDEX(モデル一覧!$D:$D,MATCH($D106,モデル一覧!$A:$A,0)),"IDなし"))</f>
        <v/>
      </c>
      <c r="J106" s="23" t="str">
        <f aca="false">IF($D106="","",IFERROR(INDEX(モデル一覧!$E:$E,MATCH($D106,モデル一覧!$A:$A,0)),"IDなし"))</f>
        <v/>
      </c>
      <c r="K106" s="24" t="str">
        <f aca="false">IF($D106="","",IFERROR(IF(INDEX(モデル一覧!$L:$L,MATCH($D106,モデル一覧!$A:$A,0))="","",DATE(INDEX(モデル一覧!$K:$K,MATCH($D106,モデル一覧!$A:$A,0)),INDEX(モデル一覧!$L:$L,MATCH($D106,モデル一覧!$A:$A,0)),1)),""))</f>
        <v/>
      </c>
      <c r="L106" s="25" t="str">
        <f aca="false">IF(OR($F106="",$G106=""),"",(YEAR($F106)-YEAR($G106))*12+MONTH($F106)-MONTH($G106))</f>
        <v/>
      </c>
      <c r="M106" s="25" t="str">
        <f aca="false">IF(OR($F106="",$K106=""),"",(YEAR($F106)-YEAR($K106))*12+MONTH($F106)-MONTH($K106))</f>
        <v/>
      </c>
      <c r="N106" s="23" t="str">
        <f aca="false">IF($L106="","",IF(ABS($L106)&lt;=3,"整合",IF($L106&gt;3,"S&amp;P先行：SOP・生産国・世代を確認","ML先行：旧世代込み・先行登録を確認")))</f>
        <v/>
      </c>
      <c r="O106" s="22"/>
      <c r="P106" s="19"/>
    </row>
    <row r="107" customFormat="false" ht="15" hidden="false" customHeight="false" outlineLevel="0" collapsed="false">
      <c r="A107" s="19"/>
      <c r="B107" s="19"/>
      <c r="C107" s="19"/>
      <c r="D107" s="20"/>
      <c r="E107" s="21"/>
      <c r="F107" s="22"/>
      <c r="G107" s="22"/>
      <c r="H107" s="21"/>
      <c r="I107" s="23" t="str">
        <f aca="false">IF($D107="","",IFERROR(INDEX(モデル一覧!$D:$D,MATCH($D107,モデル一覧!$A:$A,0)),"IDなし"))</f>
        <v/>
      </c>
      <c r="J107" s="23" t="str">
        <f aca="false">IF($D107="","",IFERROR(INDEX(モデル一覧!$E:$E,MATCH($D107,モデル一覧!$A:$A,0)),"IDなし"))</f>
        <v/>
      </c>
      <c r="K107" s="24" t="str">
        <f aca="false">IF($D107="","",IFERROR(IF(INDEX(モデル一覧!$L:$L,MATCH($D107,モデル一覧!$A:$A,0))="","",DATE(INDEX(モデル一覧!$K:$K,MATCH($D107,モデル一覧!$A:$A,0)),INDEX(モデル一覧!$L:$L,MATCH($D107,モデル一覧!$A:$A,0)),1)),""))</f>
        <v/>
      </c>
      <c r="L107" s="25" t="str">
        <f aca="false">IF(OR($F107="",$G107=""),"",(YEAR($F107)-YEAR($G107))*12+MONTH($F107)-MONTH($G107))</f>
        <v/>
      </c>
      <c r="M107" s="25" t="str">
        <f aca="false">IF(OR($F107="",$K107=""),"",(YEAR($F107)-YEAR($K107))*12+MONTH($F107)-MONTH($K107))</f>
        <v/>
      </c>
      <c r="N107" s="23" t="str">
        <f aca="false">IF($L107="","",IF(ABS($L107)&lt;=3,"整合",IF($L107&gt;3,"S&amp;P先行：SOP・生産国・世代を確認","ML先行：旧世代込み・先行登録を確認")))</f>
        <v/>
      </c>
      <c r="O107" s="22"/>
      <c r="P107" s="19"/>
    </row>
    <row r="108" customFormat="false" ht="15" hidden="false" customHeight="false" outlineLevel="0" collapsed="false">
      <c r="A108" s="19"/>
      <c r="B108" s="19"/>
      <c r="C108" s="19"/>
      <c r="D108" s="20"/>
      <c r="E108" s="21"/>
      <c r="F108" s="22"/>
      <c r="G108" s="22"/>
      <c r="H108" s="21"/>
      <c r="I108" s="23" t="str">
        <f aca="false">IF($D108="","",IFERROR(INDEX(モデル一覧!$D:$D,MATCH($D108,モデル一覧!$A:$A,0)),"IDなし"))</f>
        <v/>
      </c>
      <c r="J108" s="23" t="str">
        <f aca="false">IF($D108="","",IFERROR(INDEX(モデル一覧!$E:$E,MATCH($D108,モデル一覧!$A:$A,0)),"IDなし"))</f>
        <v/>
      </c>
      <c r="K108" s="24" t="str">
        <f aca="false">IF($D108="","",IFERROR(IF(INDEX(モデル一覧!$L:$L,MATCH($D108,モデル一覧!$A:$A,0))="","",DATE(INDEX(モデル一覧!$K:$K,MATCH($D108,モデル一覧!$A:$A,0)),INDEX(モデル一覧!$L:$L,MATCH($D108,モデル一覧!$A:$A,0)),1)),""))</f>
        <v/>
      </c>
      <c r="L108" s="25" t="str">
        <f aca="false">IF(OR($F108="",$G108=""),"",(YEAR($F108)-YEAR($G108))*12+MONTH($F108)-MONTH($G108))</f>
        <v/>
      </c>
      <c r="M108" s="25" t="str">
        <f aca="false">IF(OR($F108="",$K108=""),"",(YEAR($F108)-YEAR($K108))*12+MONTH($F108)-MONTH($K108))</f>
        <v/>
      </c>
      <c r="N108" s="23" t="str">
        <f aca="false">IF($L108="","",IF(ABS($L108)&lt;=3,"整合",IF($L108&gt;3,"S&amp;P先行：SOP・生産国・世代を確認","ML先行：旧世代込み・先行登録を確認")))</f>
        <v/>
      </c>
      <c r="O108" s="22"/>
      <c r="P108" s="19"/>
    </row>
    <row r="109" customFormat="false" ht="15" hidden="false" customHeight="false" outlineLevel="0" collapsed="false">
      <c r="A109" s="19"/>
      <c r="B109" s="19"/>
      <c r="C109" s="19"/>
      <c r="D109" s="20"/>
      <c r="E109" s="21"/>
      <c r="F109" s="22"/>
      <c r="G109" s="22"/>
      <c r="H109" s="21"/>
      <c r="I109" s="23" t="str">
        <f aca="false">IF($D109="","",IFERROR(INDEX(モデル一覧!$D:$D,MATCH($D109,モデル一覧!$A:$A,0)),"IDなし"))</f>
        <v/>
      </c>
      <c r="J109" s="23" t="str">
        <f aca="false">IF($D109="","",IFERROR(INDEX(モデル一覧!$E:$E,MATCH($D109,モデル一覧!$A:$A,0)),"IDなし"))</f>
        <v/>
      </c>
      <c r="K109" s="24" t="str">
        <f aca="false">IF($D109="","",IFERROR(IF(INDEX(モデル一覧!$L:$L,MATCH($D109,モデル一覧!$A:$A,0))="","",DATE(INDEX(モデル一覧!$K:$K,MATCH($D109,モデル一覧!$A:$A,0)),INDEX(モデル一覧!$L:$L,MATCH($D109,モデル一覧!$A:$A,0)),1)),""))</f>
        <v/>
      </c>
      <c r="L109" s="25" t="str">
        <f aca="false">IF(OR($F109="",$G109=""),"",(YEAR($F109)-YEAR($G109))*12+MONTH($F109)-MONTH($G109))</f>
        <v/>
      </c>
      <c r="M109" s="25" t="str">
        <f aca="false">IF(OR($F109="",$K109=""),"",(YEAR($F109)-YEAR($K109))*12+MONTH($F109)-MONTH($K109))</f>
        <v/>
      </c>
      <c r="N109" s="23" t="str">
        <f aca="false">IF($L109="","",IF(ABS($L109)&lt;=3,"整合",IF($L109&gt;3,"S&amp;P先行：SOP・生産国・世代を確認","ML先行：旧世代込み・先行登録を確認")))</f>
        <v/>
      </c>
      <c r="O109" s="22"/>
      <c r="P109" s="19"/>
    </row>
    <row r="110" customFormat="false" ht="15" hidden="false" customHeight="false" outlineLevel="0" collapsed="false">
      <c r="A110" s="19"/>
      <c r="B110" s="19"/>
      <c r="C110" s="19"/>
      <c r="D110" s="20"/>
      <c r="E110" s="21"/>
      <c r="F110" s="22"/>
      <c r="G110" s="22"/>
      <c r="H110" s="21"/>
      <c r="I110" s="23" t="str">
        <f aca="false">IF($D110="","",IFERROR(INDEX(モデル一覧!$D:$D,MATCH($D110,モデル一覧!$A:$A,0)),"IDなし"))</f>
        <v/>
      </c>
      <c r="J110" s="23" t="str">
        <f aca="false">IF($D110="","",IFERROR(INDEX(モデル一覧!$E:$E,MATCH($D110,モデル一覧!$A:$A,0)),"IDなし"))</f>
        <v/>
      </c>
      <c r="K110" s="24" t="str">
        <f aca="false">IF($D110="","",IFERROR(IF(INDEX(モデル一覧!$L:$L,MATCH($D110,モデル一覧!$A:$A,0))="","",DATE(INDEX(モデル一覧!$K:$K,MATCH($D110,モデル一覧!$A:$A,0)),INDEX(モデル一覧!$L:$L,MATCH($D110,モデル一覧!$A:$A,0)),1)),""))</f>
        <v/>
      </c>
      <c r="L110" s="25" t="str">
        <f aca="false">IF(OR($F110="",$G110=""),"",(YEAR($F110)-YEAR($G110))*12+MONTH($F110)-MONTH($G110))</f>
        <v/>
      </c>
      <c r="M110" s="25" t="str">
        <f aca="false">IF(OR($F110="",$K110=""),"",(YEAR($F110)-YEAR($K110))*12+MONTH($F110)-MONTH($K110))</f>
        <v/>
      </c>
      <c r="N110" s="23" t="str">
        <f aca="false">IF($L110="","",IF(ABS($L110)&lt;=3,"整合",IF($L110&gt;3,"S&amp;P先行：SOP・生産国・世代を確認","ML先行：旧世代込み・先行登録を確認")))</f>
        <v/>
      </c>
      <c r="O110" s="22"/>
      <c r="P110" s="19"/>
    </row>
    <row r="111" customFormat="false" ht="15" hidden="false" customHeight="false" outlineLevel="0" collapsed="false">
      <c r="A111" s="19"/>
      <c r="B111" s="19"/>
      <c r="C111" s="19"/>
      <c r="D111" s="20"/>
      <c r="E111" s="21"/>
      <c r="F111" s="22"/>
      <c r="G111" s="22"/>
      <c r="H111" s="21"/>
      <c r="I111" s="23" t="str">
        <f aca="false">IF($D111="","",IFERROR(INDEX(モデル一覧!$D:$D,MATCH($D111,モデル一覧!$A:$A,0)),"IDなし"))</f>
        <v/>
      </c>
      <c r="J111" s="23" t="str">
        <f aca="false">IF($D111="","",IFERROR(INDEX(モデル一覧!$E:$E,MATCH($D111,モデル一覧!$A:$A,0)),"IDなし"))</f>
        <v/>
      </c>
      <c r="K111" s="24" t="str">
        <f aca="false">IF($D111="","",IFERROR(IF(INDEX(モデル一覧!$L:$L,MATCH($D111,モデル一覧!$A:$A,0))="","",DATE(INDEX(モデル一覧!$K:$K,MATCH($D111,モデル一覧!$A:$A,0)),INDEX(モデル一覧!$L:$L,MATCH($D111,モデル一覧!$A:$A,0)),1)),""))</f>
        <v/>
      </c>
      <c r="L111" s="25" t="str">
        <f aca="false">IF(OR($F111="",$G111=""),"",(YEAR($F111)-YEAR($G111))*12+MONTH($F111)-MONTH($G111))</f>
        <v/>
      </c>
      <c r="M111" s="25" t="str">
        <f aca="false">IF(OR($F111="",$K111=""),"",(YEAR($F111)-YEAR($K111))*12+MONTH($F111)-MONTH($K111))</f>
        <v/>
      </c>
      <c r="N111" s="23" t="str">
        <f aca="false">IF($L111="","",IF(ABS($L111)&lt;=3,"整合",IF($L111&gt;3,"S&amp;P先行：SOP・生産国・世代を確認","ML先行：旧世代込み・先行登録を確認")))</f>
        <v/>
      </c>
      <c r="O111" s="22"/>
      <c r="P111" s="19"/>
    </row>
    <row r="112" customFormat="false" ht="15" hidden="false" customHeight="false" outlineLevel="0" collapsed="false">
      <c r="A112" s="19"/>
      <c r="B112" s="19"/>
      <c r="C112" s="19"/>
      <c r="D112" s="20"/>
      <c r="E112" s="21"/>
      <c r="F112" s="22"/>
      <c r="G112" s="22"/>
      <c r="H112" s="21"/>
      <c r="I112" s="23" t="str">
        <f aca="false">IF($D112="","",IFERROR(INDEX(モデル一覧!$D:$D,MATCH($D112,モデル一覧!$A:$A,0)),"IDなし"))</f>
        <v/>
      </c>
      <c r="J112" s="23" t="str">
        <f aca="false">IF($D112="","",IFERROR(INDEX(モデル一覧!$E:$E,MATCH($D112,モデル一覧!$A:$A,0)),"IDなし"))</f>
        <v/>
      </c>
      <c r="K112" s="24" t="str">
        <f aca="false">IF($D112="","",IFERROR(IF(INDEX(モデル一覧!$L:$L,MATCH($D112,モデル一覧!$A:$A,0))="","",DATE(INDEX(モデル一覧!$K:$K,MATCH($D112,モデル一覧!$A:$A,0)),INDEX(モデル一覧!$L:$L,MATCH($D112,モデル一覧!$A:$A,0)),1)),""))</f>
        <v/>
      </c>
      <c r="L112" s="25" t="str">
        <f aca="false">IF(OR($F112="",$G112=""),"",(YEAR($F112)-YEAR($G112))*12+MONTH($F112)-MONTH($G112))</f>
        <v/>
      </c>
      <c r="M112" s="25" t="str">
        <f aca="false">IF(OR($F112="",$K112=""),"",(YEAR($F112)-YEAR($K112))*12+MONTH($F112)-MONTH($K112))</f>
        <v/>
      </c>
      <c r="N112" s="23" t="str">
        <f aca="false">IF($L112="","",IF(ABS($L112)&lt;=3,"整合",IF($L112&gt;3,"S&amp;P先行：SOP・生産国・世代を確認","ML先行：旧世代込み・先行登録を確認")))</f>
        <v/>
      </c>
      <c r="O112" s="22"/>
      <c r="P112" s="19"/>
    </row>
    <row r="113" customFormat="false" ht="15" hidden="false" customHeight="false" outlineLevel="0" collapsed="false">
      <c r="A113" s="19"/>
      <c r="B113" s="19"/>
      <c r="C113" s="19"/>
      <c r="D113" s="20"/>
      <c r="E113" s="21"/>
      <c r="F113" s="22"/>
      <c r="G113" s="22"/>
      <c r="H113" s="21"/>
      <c r="I113" s="23" t="str">
        <f aca="false">IF($D113="","",IFERROR(INDEX(モデル一覧!$D:$D,MATCH($D113,モデル一覧!$A:$A,0)),"IDなし"))</f>
        <v/>
      </c>
      <c r="J113" s="23" t="str">
        <f aca="false">IF($D113="","",IFERROR(INDEX(モデル一覧!$E:$E,MATCH($D113,モデル一覧!$A:$A,0)),"IDなし"))</f>
        <v/>
      </c>
      <c r="K113" s="24" t="str">
        <f aca="false">IF($D113="","",IFERROR(IF(INDEX(モデル一覧!$L:$L,MATCH($D113,モデル一覧!$A:$A,0))="","",DATE(INDEX(モデル一覧!$K:$K,MATCH($D113,モデル一覧!$A:$A,0)),INDEX(モデル一覧!$L:$L,MATCH($D113,モデル一覧!$A:$A,0)),1)),""))</f>
        <v/>
      </c>
      <c r="L113" s="25" t="str">
        <f aca="false">IF(OR($F113="",$G113=""),"",(YEAR($F113)-YEAR($G113))*12+MONTH($F113)-MONTH($G113))</f>
        <v/>
      </c>
      <c r="M113" s="25" t="str">
        <f aca="false">IF(OR($F113="",$K113=""),"",(YEAR($F113)-YEAR($K113))*12+MONTH($F113)-MONTH($K113))</f>
        <v/>
      </c>
      <c r="N113" s="23" t="str">
        <f aca="false">IF($L113="","",IF(ABS($L113)&lt;=3,"整合",IF($L113&gt;3,"S&amp;P先行：SOP・生産国・世代を確認","ML先行：旧世代込み・先行登録を確認")))</f>
        <v/>
      </c>
      <c r="O113" s="22"/>
      <c r="P113" s="19"/>
    </row>
    <row r="114" customFormat="false" ht="15" hidden="false" customHeight="false" outlineLevel="0" collapsed="false">
      <c r="A114" s="19"/>
      <c r="B114" s="19"/>
      <c r="C114" s="19"/>
      <c r="D114" s="20"/>
      <c r="E114" s="21"/>
      <c r="F114" s="22"/>
      <c r="G114" s="22"/>
      <c r="H114" s="21"/>
      <c r="I114" s="23" t="str">
        <f aca="false">IF($D114="","",IFERROR(INDEX(モデル一覧!$D:$D,MATCH($D114,モデル一覧!$A:$A,0)),"IDなし"))</f>
        <v/>
      </c>
      <c r="J114" s="23" t="str">
        <f aca="false">IF($D114="","",IFERROR(INDEX(モデル一覧!$E:$E,MATCH($D114,モデル一覧!$A:$A,0)),"IDなし"))</f>
        <v/>
      </c>
      <c r="K114" s="24" t="str">
        <f aca="false">IF($D114="","",IFERROR(IF(INDEX(モデル一覧!$L:$L,MATCH($D114,モデル一覧!$A:$A,0))="","",DATE(INDEX(モデル一覧!$K:$K,MATCH($D114,モデル一覧!$A:$A,0)),INDEX(モデル一覧!$L:$L,MATCH($D114,モデル一覧!$A:$A,0)),1)),""))</f>
        <v/>
      </c>
      <c r="L114" s="25" t="str">
        <f aca="false">IF(OR($F114="",$G114=""),"",(YEAR($F114)-YEAR($G114))*12+MONTH($F114)-MONTH($G114))</f>
        <v/>
      </c>
      <c r="M114" s="25" t="str">
        <f aca="false">IF(OR($F114="",$K114=""),"",(YEAR($F114)-YEAR($K114))*12+MONTH($F114)-MONTH($K114))</f>
        <v/>
      </c>
      <c r="N114" s="23" t="str">
        <f aca="false">IF($L114="","",IF(ABS($L114)&lt;=3,"整合",IF($L114&gt;3,"S&amp;P先行：SOP・生産国・世代を確認","ML先行：旧世代込み・先行登録を確認")))</f>
        <v/>
      </c>
      <c r="O114" s="22"/>
      <c r="P114" s="19"/>
    </row>
    <row r="115" customFormat="false" ht="15" hidden="false" customHeight="false" outlineLevel="0" collapsed="false">
      <c r="A115" s="19"/>
      <c r="B115" s="19"/>
      <c r="C115" s="19"/>
      <c r="D115" s="20"/>
      <c r="E115" s="21"/>
      <c r="F115" s="22"/>
      <c r="G115" s="22"/>
      <c r="H115" s="21"/>
      <c r="I115" s="23" t="str">
        <f aca="false">IF($D115="","",IFERROR(INDEX(モデル一覧!$D:$D,MATCH($D115,モデル一覧!$A:$A,0)),"IDなし"))</f>
        <v/>
      </c>
      <c r="J115" s="23" t="str">
        <f aca="false">IF($D115="","",IFERROR(INDEX(モデル一覧!$E:$E,MATCH($D115,モデル一覧!$A:$A,0)),"IDなし"))</f>
        <v/>
      </c>
      <c r="K115" s="24" t="str">
        <f aca="false">IF($D115="","",IFERROR(IF(INDEX(モデル一覧!$L:$L,MATCH($D115,モデル一覧!$A:$A,0))="","",DATE(INDEX(モデル一覧!$K:$K,MATCH($D115,モデル一覧!$A:$A,0)),INDEX(モデル一覧!$L:$L,MATCH($D115,モデル一覧!$A:$A,0)),1)),""))</f>
        <v/>
      </c>
      <c r="L115" s="25" t="str">
        <f aca="false">IF(OR($F115="",$G115=""),"",(YEAR($F115)-YEAR($G115))*12+MONTH($F115)-MONTH($G115))</f>
        <v/>
      </c>
      <c r="M115" s="25" t="str">
        <f aca="false">IF(OR($F115="",$K115=""),"",(YEAR($F115)-YEAR($K115))*12+MONTH($F115)-MONTH($K115))</f>
        <v/>
      </c>
      <c r="N115" s="23" t="str">
        <f aca="false">IF($L115="","",IF(ABS($L115)&lt;=3,"整合",IF($L115&gt;3,"S&amp;P先行：SOP・生産国・世代を確認","ML先行：旧世代込み・先行登録を確認")))</f>
        <v/>
      </c>
      <c r="O115" s="22"/>
      <c r="P115" s="19"/>
    </row>
    <row r="116" customFormat="false" ht="15" hidden="false" customHeight="false" outlineLevel="0" collapsed="false">
      <c r="A116" s="19"/>
      <c r="B116" s="19"/>
      <c r="C116" s="19"/>
      <c r="D116" s="20"/>
      <c r="E116" s="21"/>
      <c r="F116" s="22"/>
      <c r="G116" s="22"/>
      <c r="H116" s="21"/>
      <c r="I116" s="23" t="str">
        <f aca="false">IF($D116="","",IFERROR(INDEX(モデル一覧!$D:$D,MATCH($D116,モデル一覧!$A:$A,0)),"IDなし"))</f>
        <v/>
      </c>
      <c r="J116" s="23" t="str">
        <f aca="false">IF($D116="","",IFERROR(INDEX(モデル一覧!$E:$E,MATCH($D116,モデル一覧!$A:$A,0)),"IDなし"))</f>
        <v/>
      </c>
      <c r="K116" s="24" t="str">
        <f aca="false">IF($D116="","",IFERROR(IF(INDEX(モデル一覧!$L:$L,MATCH($D116,モデル一覧!$A:$A,0))="","",DATE(INDEX(モデル一覧!$K:$K,MATCH($D116,モデル一覧!$A:$A,0)),INDEX(モデル一覧!$L:$L,MATCH($D116,モデル一覧!$A:$A,0)),1)),""))</f>
        <v/>
      </c>
      <c r="L116" s="25" t="str">
        <f aca="false">IF(OR($F116="",$G116=""),"",(YEAR($F116)-YEAR($G116))*12+MONTH($F116)-MONTH($G116))</f>
        <v/>
      </c>
      <c r="M116" s="25" t="str">
        <f aca="false">IF(OR($F116="",$K116=""),"",(YEAR($F116)-YEAR($K116))*12+MONTH($F116)-MONTH($K116))</f>
        <v/>
      </c>
      <c r="N116" s="23" t="str">
        <f aca="false">IF($L116="","",IF(ABS($L116)&lt;=3,"整合",IF($L116&gt;3,"S&amp;P先行：SOP・生産国・世代を確認","ML先行：旧世代込み・先行登録を確認")))</f>
        <v/>
      </c>
      <c r="O116" s="22"/>
      <c r="P116" s="19"/>
    </row>
    <row r="117" customFormat="false" ht="15" hidden="false" customHeight="false" outlineLevel="0" collapsed="false">
      <c r="A117" s="19"/>
      <c r="B117" s="19"/>
      <c r="C117" s="19"/>
      <c r="D117" s="20"/>
      <c r="E117" s="21"/>
      <c r="F117" s="22"/>
      <c r="G117" s="22"/>
      <c r="H117" s="21"/>
      <c r="I117" s="23" t="str">
        <f aca="false">IF($D117="","",IFERROR(INDEX(モデル一覧!$D:$D,MATCH($D117,モデル一覧!$A:$A,0)),"IDなし"))</f>
        <v/>
      </c>
      <c r="J117" s="23" t="str">
        <f aca="false">IF($D117="","",IFERROR(INDEX(モデル一覧!$E:$E,MATCH($D117,モデル一覧!$A:$A,0)),"IDなし"))</f>
        <v/>
      </c>
      <c r="K117" s="24" t="str">
        <f aca="false">IF($D117="","",IFERROR(IF(INDEX(モデル一覧!$L:$L,MATCH($D117,モデル一覧!$A:$A,0))="","",DATE(INDEX(モデル一覧!$K:$K,MATCH($D117,モデル一覧!$A:$A,0)),INDEX(モデル一覧!$L:$L,MATCH($D117,モデル一覧!$A:$A,0)),1)),""))</f>
        <v/>
      </c>
      <c r="L117" s="25" t="str">
        <f aca="false">IF(OR($F117="",$G117=""),"",(YEAR($F117)-YEAR($G117))*12+MONTH($F117)-MONTH($G117))</f>
        <v/>
      </c>
      <c r="M117" s="25" t="str">
        <f aca="false">IF(OR($F117="",$K117=""),"",(YEAR($F117)-YEAR($K117))*12+MONTH($F117)-MONTH($K117))</f>
        <v/>
      </c>
      <c r="N117" s="23" t="str">
        <f aca="false">IF($L117="","",IF(ABS($L117)&lt;=3,"整合",IF($L117&gt;3,"S&amp;P先行：SOP・生産国・世代を確認","ML先行：旧世代込み・先行登録を確認")))</f>
        <v/>
      </c>
      <c r="O117" s="22"/>
      <c r="P117" s="19"/>
    </row>
    <row r="118" customFormat="false" ht="15" hidden="false" customHeight="false" outlineLevel="0" collapsed="false">
      <c r="A118" s="19"/>
      <c r="B118" s="19"/>
      <c r="C118" s="19"/>
      <c r="D118" s="20"/>
      <c r="E118" s="21"/>
      <c r="F118" s="22"/>
      <c r="G118" s="22"/>
      <c r="H118" s="21"/>
      <c r="I118" s="23" t="str">
        <f aca="false">IF($D118="","",IFERROR(INDEX(モデル一覧!$D:$D,MATCH($D118,モデル一覧!$A:$A,0)),"IDなし"))</f>
        <v/>
      </c>
      <c r="J118" s="23" t="str">
        <f aca="false">IF($D118="","",IFERROR(INDEX(モデル一覧!$E:$E,MATCH($D118,モデル一覧!$A:$A,0)),"IDなし"))</f>
        <v/>
      </c>
      <c r="K118" s="24" t="str">
        <f aca="false">IF($D118="","",IFERROR(IF(INDEX(モデル一覧!$L:$L,MATCH($D118,モデル一覧!$A:$A,0))="","",DATE(INDEX(モデル一覧!$K:$K,MATCH($D118,モデル一覧!$A:$A,0)),INDEX(モデル一覧!$L:$L,MATCH($D118,モデル一覧!$A:$A,0)),1)),""))</f>
        <v/>
      </c>
      <c r="L118" s="25" t="str">
        <f aca="false">IF(OR($F118="",$G118=""),"",(YEAR($F118)-YEAR($G118))*12+MONTH($F118)-MONTH($G118))</f>
        <v/>
      </c>
      <c r="M118" s="25" t="str">
        <f aca="false">IF(OR($F118="",$K118=""),"",(YEAR($F118)-YEAR($K118))*12+MONTH($F118)-MONTH($K118))</f>
        <v/>
      </c>
      <c r="N118" s="23" t="str">
        <f aca="false">IF($L118="","",IF(ABS($L118)&lt;=3,"整合",IF($L118&gt;3,"S&amp;P先行：SOP・生産国・世代を確認","ML先行：旧世代込み・先行登録を確認")))</f>
        <v/>
      </c>
      <c r="O118" s="22"/>
      <c r="P118" s="19"/>
    </row>
    <row r="119" customFormat="false" ht="15" hidden="false" customHeight="false" outlineLevel="0" collapsed="false">
      <c r="A119" s="19"/>
      <c r="B119" s="19"/>
      <c r="C119" s="19"/>
      <c r="D119" s="20"/>
      <c r="E119" s="21"/>
      <c r="F119" s="22"/>
      <c r="G119" s="22"/>
      <c r="H119" s="21"/>
      <c r="I119" s="23" t="str">
        <f aca="false">IF($D119="","",IFERROR(INDEX(モデル一覧!$D:$D,MATCH($D119,モデル一覧!$A:$A,0)),"IDなし"))</f>
        <v/>
      </c>
      <c r="J119" s="23" t="str">
        <f aca="false">IF($D119="","",IFERROR(INDEX(モデル一覧!$E:$E,MATCH($D119,モデル一覧!$A:$A,0)),"IDなし"))</f>
        <v/>
      </c>
      <c r="K119" s="24" t="str">
        <f aca="false">IF($D119="","",IFERROR(IF(INDEX(モデル一覧!$L:$L,MATCH($D119,モデル一覧!$A:$A,0))="","",DATE(INDEX(モデル一覧!$K:$K,MATCH($D119,モデル一覧!$A:$A,0)),INDEX(モデル一覧!$L:$L,MATCH($D119,モデル一覧!$A:$A,0)),1)),""))</f>
        <v/>
      </c>
      <c r="L119" s="25" t="str">
        <f aca="false">IF(OR($F119="",$G119=""),"",(YEAR($F119)-YEAR($G119))*12+MONTH($F119)-MONTH($G119))</f>
        <v/>
      </c>
      <c r="M119" s="25" t="str">
        <f aca="false">IF(OR($F119="",$K119=""),"",(YEAR($F119)-YEAR($K119))*12+MONTH($F119)-MONTH($K119))</f>
        <v/>
      </c>
      <c r="N119" s="23" t="str">
        <f aca="false">IF($L119="","",IF(ABS($L119)&lt;=3,"整合",IF($L119&gt;3,"S&amp;P先行：SOP・生産国・世代を確認","ML先行：旧世代込み・先行登録を確認")))</f>
        <v/>
      </c>
      <c r="O119" s="22"/>
      <c r="P119" s="19"/>
    </row>
    <row r="120" customFormat="false" ht="15" hidden="false" customHeight="false" outlineLevel="0" collapsed="false">
      <c r="A120" s="19"/>
      <c r="B120" s="19"/>
      <c r="C120" s="19"/>
      <c r="D120" s="20"/>
      <c r="E120" s="21"/>
      <c r="F120" s="22"/>
      <c r="G120" s="22"/>
      <c r="H120" s="21"/>
      <c r="I120" s="23" t="str">
        <f aca="false">IF($D120="","",IFERROR(INDEX(モデル一覧!$D:$D,MATCH($D120,モデル一覧!$A:$A,0)),"IDなし"))</f>
        <v/>
      </c>
      <c r="J120" s="23" t="str">
        <f aca="false">IF($D120="","",IFERROR(INDEX(モデル一覧!$E:$E,MATCH($D120,モデル一覧!$A:$A,0)),"IDなし"))</f>
        <v/>
      </c>
      <c r="K120" s="24" t="str">
        <f aca="false">IF($D120="","",IFERROR(IF(INDEX(モデル一覧!$L:$L,MATCH($D120,モデル一覧!$A:$A,0))="","",DATE(INDEX(モデル一覧!$K:$K,MATCH($D120,モデル一覧!$A:$A,0)),INDEX(モデル一覧!$L:$L,MATCH($D120,モデル一覧!$A:$A,0)),1)),""))</f>
        <v/>
      </c>
      <c r="L120" s="25" t="str">
        <f aca="false">IF(OR($F120="",$G120=""),"",(YEAR($F120)-YEAR($G120))*12+MONTH($F120)-MONTH($G120))</f>
        <v/>
      </c>
      <c r="M120" s="25" t="str">
        <f aca="false">IF(OR($F120="",$K120=""),"",(YEAR($F120)-YEAR($K120))*12+MONTH($F120)-MONTH($K120))</f>
        <v/>
      </c>
      <c r="N120" s="23" t="str">
        <f aca="false">IF($L120="","",IF(ABS($L120)&lt;=3,"整合",IF($L120&gt;3,"S&amp;P先行：SOP・生産国・世代を確認","ML先行：旧世代込み・先行登録を確認")))</f>
        <v/>
      </c>
      <c r="O120" s="22"/>
      <c r="P120" s="19"/>
    </row>
    <row r="121" customFormat="false" ht="15" hidden="false" customHeight="false" outlineLevel="0" collapsed="false">
      <c r="A121" s="19"/>
      <c r="B121" s="19"/>
      <c r="C121" s="19"/>
      <c r="D121" s="20"/>
      <c r="E121" s="21"/>
      <c r="F121" s="22"/>
      <c r="G121" s="22"/>
      <c r="H121" s="21"/>
      <c r="I121" s="23" t="str">
        <f aca="false">IF($D121="","",IFERROR(INDEX(モデル一覧!$D:$D,MATCH($D121,モデル一覧!$A:$A,0)),"IDなし"))</f>
        <v/>
      </c>
      <c r="J121" s="23" t="str">
        <f aca="false">IF($D121="","",IFERROR(INDEX(モデル一覧!$E:$E,MATCH($D121,モデル一覧!$A:$A,0)),"IDなし"))</f>
        <v/>
      </c>
      <c r="K121" s="24" t="str">
        <f aca="false">IF($D121="","",IFERROR(IF(INDEX(モデル一覧!$L:$L,MATCH($D121,モデル一覧!$A:$A,0))="","",DATE(INDEX(モデル一覧!$K:$K,MATCH($D121,モデル一覧!$A:$A,0)),INDEX(モデル一覧!$L:$L,MATCH($D121,モデル一覧!$A:$A,0)),1)),""))</f>
        <v/>
      </c>
      <c r="L121" s="25" t="str">
        <f aca="false">IF(OR($F121="",$G121=""),"",(YEAR($F121)-YEAR($G121))*12+MONTH($F121)-MONTH($G121))</f>
        <v/>
      </c>
      <c r="M121" s="25" t="str">
        <f aca="false">IF(OR($F121="",$K121=""),"",(YEAR($F121)-YEAR($K121))*12+MONTH($F121)-MONTH($K121))</f>
        <v/>
      </c>
      <c r="N121" s="23" t="str">
        <f aca="false">IF($L121="","",IF(ABS($L121)&lt;=3,"整合",IF($L121&gt;3,"S&amp;P先行：SOP・生産国・世代を確認","ML先行：旧世代込み・先行登録を確認")))</f>
        <v/>
      </c>
      <c r="O121" s="22"/>
      <c r="P121" s="19"/>
    </row>
    <row r="122" customFormat="false" ht="15" hidden="false" customHeight="false" outlineLevel="0" collapsed="false">
      <c r="A122" s="19"/>
      <c r="B122" s="19"/>
      <c r="C122" s="19"/>
      <c r="D122" s="20"/>
      <c r="E122" s="21"/>
      <c r="F122" s="22"/>
      <c r="G122" s="22"/>
      <c r="H122" s="21"/>
      <c r="I122" s="23" t="str">
        <f aca="false">IF($D122="","",IFERROR(INDEX(モデル一覧!$D:$D,MATCH($D122,モデル一覧!$A:$A,0)),"IDなし"))</f>
        <v/>
      </c>
      <c r="J122" s="23" t="str">
        <f aca="false">IF($D122="","",IFERROR(INDEX(モデル一覧!$E:$E,MATCH($D122,モデル一覧!$A:$A,0)),"IDなし"))</f>
        <v/>
      </c>
      <c r="K122" s="24" t="str">
        <f aca="false">IF($D122="","",IFERROR(IF(INDEX(モデル一覧!$L:$L,MATCH($D122,モデル一覧!$A:$A,0))="","",DATE(INDEX(モデル一覧!$K:$K,MATCH($D122,モデル一覧!$A:$A,0)),INDEX(モデル一覧!$L:$L,MATCH($D122,モデル一覧!$A:$A,0)),1)),""))</f>
        <v/>
      </c>
      <c r="L122" s="25" t="str">
        <f aca="false">IF(OR($F122="",$G122=""),"",(YEAR($F122)-YEAR($G122))*12+MONTH($F122)-MONTH($G122))</f>
        <v/>
      </c>
      <c r="M122" s="25" t="str">
        <f aca="false">IF(OR($F122="",$K122=""),"",(YEAR($F122)-YEAR($K122))*12+MONTH($F122)-MONTH($K122))</f>
        <v/>
      </c>
      <c r="N122" s="23" t="str">
        <f aca="false">IF($L122="","",IF(ABS($L122)&lt;=3,"整合",IF($L122&gt;3,"S&amp;P先行：SOP・生産国・世代を確認","ML先行：旧世代込み・先行登録を確認")))</f>
        <v/>
      </c>
      <c r="O122" s="22"/>
      <c r="P122" s="19"/>
    </row>
    <row r="123" customFormat="false" ht="15" hidden="false" customHeight="false" outlineLevel="0" collapsed="false">
      <c r="A123" s="19"/>
      <c r="B123" s="19"/>
      <c r="C123" s="19"/>
      <c r="D123" s="20"/>
      <c r="E123" s="21"/>
      <c r="F123" s="22"/>
      <c r="G123" s="22"/>
      <c r="H123" s="21"/>
      <c r="I123" s="23" t="str">
        <f aca="false">IF($D123="","",IFERROR(INDEX(モデル一覧!$D:$D,MATCH($D123,モデル一覧!$A:$A,0)),"IDなし"))</f>
        <v/>
      </c>
      <c r="J123" s="23" t="str">
        <f aca="false">IF($D123="","",IFERROR(INDEX(モデル一覧!$E:$E,MATCH($D123,モデル一覧!$A:$A,0)),"IDなし"))</f>
        <v/>
      </c>
      <c r="K123" s="24" t="str">
        <f aca="false">IF($D123="","",IFERROR(IF(INDEX(モデル一覧!$L:$L,MATCH($D123,モデル一覧!$A:$A,0))="","",DATE(INDEX(モデル一覧!$K:$K,MATCH($D123,モデル一覧!$A:$A,0)),INDEX(モデル一覧!$L:$L,MATCH($D123,モデル一覧!$A:$A,0)),1)),""))</f>
        <v/>
      </c>
      <c r="L123" s="25" t="str">
        <f aca="false">IF(OR($F123="",$G123=""),"",(YEAR($F123)-YEAR($G123))*12+MONTH($F123)-MONTH($G123))</f>
        <v/>
      </c>
      <c r="M123" s="25" t="str">
        <f aca="false">IF(OR($F123="",$K123=""),"",(YEAR($F123)-YEAR($K123))*12+MONTH($F123)-MONTH($K123))</f>
        <v/>
      </c>
      <c r="N123" s="23" t="str">
        <f aca="false">IF($L123="","",IF(ABS($L123)&lt;=3,"整合",IF($L123&gt;3,"S&amp;P先行：SOP・生産国・世代を確認","ML先行：旧世代込み・先行登録を確認")))</f>
        <v/>
      </c>
      <c r="O123" s="22"/>
      <c r="P123" s="19"/>
    </row>
    <row r="124" customFormat="false" ht="15" hidden="false" customHeight="false" outlineLevel="0" collapsed="false">
      <c r="A124" s="19"/>
      <c r="B124" s="19"/>
      <c r="C124" s="19"/>
      <c r="D124" s="20"/>
      <c r="E124" s="21"/>
      <c r="F124" s="22"/>
      <c r="G124" s="22"/>
      <c r="H124" s="21"/>
      <c r="I124" s="23" t="str">
        <f aca="false">IF($D124="","",IFERROR(INDEX(モデル一覧!$D:$D,MATCH($D124,モデル一覧!$A:$A,0)),"IDなし"))</f>
        <v/>
      </c>
      <c r="J124" s="23" t="str">
        <f aca="false">IF($D124="","",IFERROR(INDEX(モデル一覧!$E:$E,MATCH($D124,モデル一覧!$A:$A,0)),"IDなし"))</f>
        <v/>
      </c>
      <c r="K124" s="24" t="str">
        <f aca="false">IF($D124="","",IFERROR(IF(INDEX(モデル一覧!$L:$L,MATCH($D124,モデル一覧!$A:$A,0))="","",DATE(INDEX(モデル一覧!$K:$K,MATCH($D124,モデル一覧!$A:$A,0)),INDEX(モデル一覧!$L:$L,MATCH($D124,モデル一覧!$A:$A,0)),1)),""))</f>
        <v/>
      </c>
      <c r="L124" s="25" t="str">
        <f aca="false">IF(OR($F124="",$G124=""),"",(YEAR($F124)-YEAR($G124))*12+MONTH($F124)-MONTH($G124))</f>
        <v/>
      </c>
      <c r="M124" s="25" t="str">
        <f aca="false">IF(OR($F124="",$K124=""),"",(YEAR($F124)-YEAR($K124))*12+MONTH($F124)-MONTH($K124))</f>
        <v/>
      </c>
      <c r="N124" s="23" t="str">
        <f aca="false">IF($L124="","",IF(ABS($L124)&lt;=3,"整合",IF($L124&gt;3,"S&amp;P先行：SOP・生産国・世代を確認","ML先行：旧世代込み・先行登録を確認")))</f>
        <v/>
      </c>
      <c r="O124" s="22"/>
      <c r="P124" s="19"/>
    </row>
    <row r="125" customFormat="false" ht="15" hidden="false" customHeight="false" outlineLevel="0" collapsed="false">
      <c r="A125" s="19"/>
      <c r="B125" s="19"/>
      <c r="C125" s="19"/>
      <c r="D125" s="20"/>
      <c r="E125" s="21"/>
      <c r="F125" s="22"/>
      <c r="G125" s="22"/>
      <c r="H125" s="21"/>
      <c r="I125" s="23" t="str">
        <f aca="false">IF($D125="","",IFERROR(INDEX(モデル一覧!$D:$D,MATCH($D125,モデル一覧!$A:$A,0)),"IDなし"))</f>
        <v/>
      </c>
      <c r="J125" s="23" t="str">
        <f aca="false">IF($D125="","",IFERROR(INDEX(モデル一覧!$E:$E,MATCH($D125,モデル一覧!$A:$A,0)),"IDなし"))</f>
        <v/>
      </c>
      <c r="K125" s="24" t="str">
        <f aca="false">IF($D125="","",IFERROR(IF(INDEX(モデル一覧!$L:$L,MATCH($D125,モデル一覧!$A:$A,0))="","",DATE(INDEX(モデル一覧!$K:$K,MATCH($D125,モデル一覧!$A:$A,0)),INDEX(モデル一覧!$L:$L,MATCH($D125,モデル一覧!$A:$A,0)),1)),""))</f>
        <v/>
      </c>
      <c r="L125" s="25" t="str">
        <f aca="false">IF(OR($F125="",$G125=""),"",(YEAR($F125)-YEAR($G125))*12+MONTH($F125)-MONTH($G125))</f>
        <v/>
      </c>
      <c r="M125" s="25" t="str">
        <f aca="false">IF(OR($F125="",$K125=""),"",(YEAR($F125)-YEAR($K125))*12+MONTH($F125)-MONTH($K125))</f>
        <v/>
      </c>
      <c r="N125" s="23" t="str">
        <f aca="false">IF($L125="","",IF(ABS($L125)&lt;=3,"整合",IF($L125&gt;3,"S&amp;P先行：SOP・生産国・世代を確認","ML先行：旧世代込み・先行登録を確認")))</f>
        <v/>
      </c>
      <c r="O125" s="22"/>
      <c r="P125" s="19"/>
    </row>
    <row r="126" customFormat="false" ht="15" hidden="false" customHeight="false" outlineLevel="0" collapsed="false">
      <c r="A126" s="19"/>
      <c r="B126" s="19"/>
      <c r="C126" s="19"/>
      <c r="D126" s="20"/>
      <c r="E126" s="21"/>
      <c r="F126" s="22"/>
      <c r="G126" s="22"/>
      <c r="H126" s="21"/>
      <c r="I126" s="23" t="str">
        <f aca="false">IF($D126="","",IFERROR(INDEX(モデル一覧!$D:$D,MATCH($D126,モデル一覧!$A:$A,0)),"IDなし"))</f>
        <v/>
      </c>
      <c r="J126" s="23" t="str">
        <f aca="false">IF($D126="","",IFERROR(INDEX(モデル一覧!$E:$E,MATCH($D126,モデル一覧!$A:$A,0)),"IDなし"))</f>
        <v/>
      </c>
      <c r="K126" s="24" t="str">
        <f aca="false">IF($D126="","",IFERROR(IF(INDEX(モデル一覧!$L:$L,MATCH($D126,モデル一覧!$A:$A,0))="","",DATE(INDEX(モデル一覧!$K:$K,MATCH($D126,モデル一覧!$A:$A,0)),INDEX(モデル一覧!$L:$L,MATCH($D126,モデル一覧!$A:$A,0)),1)),""))</f>
        <v/>
      </c>
      <c r="L126" s="25" t="str">
        <f aca="false">IF(OR($F126="",$G126=""),"",(YEAR($F126)-YEAR($G126))*12+MONTH($F126)-MONTH($G126))</f>
        <v/>
      </c>
      <c r="M126" s="25" t="str">
        <f aca="false">IF(OR($F126="",$K126=""),"",(YEAR($F126)-YEAR($K126))*12+MONTH($F126)-MONTH($K126))</f>
        <v/>
      </c>
      <c r="N126" s="23" t="str">
        <f aca="false">IF($L126="","",IF(ABS($L126)&lt;=3,"整合",IF($L126&gt;3,"S&amp;P先行：SOP・生産国・世代を確認","ML先行：旧世代込み・先行登録を確認")))</f>
        <v/>
      </c>
      <c r="O126" s="22"/>
      <c r="P126" s="19"/>
    </row>
    <row r="127" customFormat="false" ht="15" hidden="false" customHeight="false" outlineLevel="0" collapsed="false">
      <c r="A127" s="19"/>
      <c r="B127" s="19"/>
      <c r="C127" s="19"/>
      <c r="D127" s="20"/>
      <c r="E127" s="21"/>
      <c r="F127" s="22"/>
      <c r="G127" s="22"/>
      <c r="H127" s="21"/>
      <c r="I127" s="23" t="str">
        <f aca="false">IF($D127="","",IFERROR(INDEX(モデル一覧!$D:$D,MATCH($D127,モデル一覧!$A:$A,0)),"IDなし"))</f>
        <v/>
      </c>
      <c r="J127" s="23" t="str">
        <f aca="false">IF($D127="","",IFERROR(INDEX(モデル一覧!$E:$E,MATCH($D127,モデル一覧!$A:$A,0)),"IDなし"))</f>
        <v/>
      </c>
      <c r="K127" s="24" t="str">
        <f aca="false">IF($D127="","",IFERROR(IF(INDEX(モデル一覧!$L:$L,MATCH($D127,モデル一覧!$A:$A,0))="","",DATE(INDEX(モデル一覧!$K:$K,MATCH($D127,モデル一覧!$A:$A,0)),INDEX(モデル一覧!$L:$L,MATCH($D127,モデル一覧!$A:$A,0)),1)),""))</f>
        <v/>
      </c>
      <c r="L127" s="25" t="str">
        <f aca="false">IF(OR($F127="",$G127=""),"",(YEAR($F127)-YEAR($G127))*12+MONTH($F127)-MONTH($G127))</f>
        <v/>
      </c>
      <c r="M127" s="25" t="str">
        <f aca="false">IF(OR($F127="",$K127=""),"",(YEAR($F127)-YEAR($K127))*12+MONTH($F127)-MONTH($K127))</f>
        <v/>
      </c>
      <c r="N127" s="23" t="str">
        <f aca="false">IF($L127="","",IF(ABS($L127)&lt;=3,"整合",IF($L127&gt;3,"S&amp;P先行：SOP・生産国・世代を確認","ML先行：旧世代込み・先行登録を確認")))</f>
        <v/>
      </c>
      <c r="O127" s="22"/>
      <c r="P127" s="19"/>
    </row>
    <row r="128" customFormat="false" ht="15" hidden="false" customHeight="false" outlineLevel="0" collapsed="false">
      <c r="A128" s="19"/>
      <c r="B128" s="19"/>
      <c r="C128" s="19"/>
      <c r="D128" s="20"/>
      <c r="E128" s="21"/>
      <c r="F128" s="22"/>
      <c r="G128" s="22"/>
      <c r="H128" s="21"/>
      <c r="I128" s="23" t="str">
        <f aca="false">IF($D128="","",IFERROR(INDEX(モデル一覧!$D:$D,MATCH($D128,モデル一覧!$A:$A,0)),"IDなし"))</f>
        <v/>
      </c>
      <c r="J128" s="23" t="str">
        <f aca="false">IF($D128="","",IFERROR(INDEX(モデル一覧!$E:$E,MATCH($D128,モデル一覧!$A:$A,0)),"IDなし"))</f>
        <v/>
      </c>
      <c r="K128" s="24" t="str">
        <f aca="false">IF($D128="","",IFERROR(IF(INDEX(モデル一覧!$L:$L,MATCH($D128,モデル一覧!$A:$A,0))="","",DATE(INDEX(モデル一覧!$K:$K,MATCH($D128,モデル一覧!$A:$A,0)),INDEX(モデル一覧!$L:$L,MATCH($D128,モデル一覧!$A:$A,0)),1)),""))</f>
        <v/>
      </c>
      <c r="L128" s="25" t="str">
        <f aca="false">IF(OR($F128="",$G128=""),"",(YEAR($F128)-YEAR($G128))*12+MONTH($F128)-MONTH($G128))</f>
        <v/>
      </c>
      <c r="M128" s="25" t="str">
        <f aca="false">IF(OR($F128="",$K128=""),"",(YEAR($F128)-YEAR($K128))*12+MONTH($F128)-MONTH($K128))</f>
        <v/>
      </c>
      <c r="N128" s="23" t="str">
        <f aca="false">IF($L128="","",IF(ABS($L128)&lt;=3,"整合",IF($L128&gt;3,"S&amp;P先行：SOP・生産国・世代を確認","ML先行：旧世代込み・先行登録を確認")))</f>
        <v/>
      </c>
      <c r="O128" s="22"/>
      <c r="P128" s="19"/>
    </row>
    <row r="129" customFormat="false" ht="15" hidden="false" customHeight="false" outlineLevel="0" collapsed="false">
      <c r="A129" s="19"/>
      <c r="B129" s="19"/>
      <c r="C129" s="19"/>
      <c r="D129" s="20"/>
      <c r="E129" s="21"/>
      <c r="F129" s="22"/>
      <c r="G129" s="22"/>
      <c r="H129" s="21"/>
      <c r="I129" s="23" t="str">
        <f aca="false">IF($D129="","",IFERROR(INDEX(モデル一覧!$D:$D,MATCH($D129,モデル一覧!$A:$A,0)),"IDなし"))</f>
        <v/>
      </c>
      <c r="J129" s="23" t="str">
        <f aca="false">IF($D129="","",IFERROR(INDEX(モデル一覧!$E:$E,MATCH($D129,モデル一覧!$A:$A,0)),"IDなし"))</f>
        <v/>
      </c>
      <c r="K129" s="24" t="str">
        <f aca="false">IF($D129="","",IFERROR(IF(INDEX(モデル一覧!$L:$L,MATCH($D129,モデル一覧!$A:$A,0))="","",DATE(INDEX(モデル一覧!$K:$K,MATCH($D129,モデル一覧!$A:$A,0)),INDEX(モデル一覧!$L:$L,MATCH($D129,モデル一覧!$A:$A,0)),1)),""))</f>
        <v/>
      </c>
      <c r="L129" s="25" t="str">
        <f aca="false">IF(OR($F129="",$G129=""),"",(YEAR($F129)-YEAR($G129))*12+MONTH($F129)-MONTH($G129))</f>
        <v/>
      </c>
      <c r="M129" s="25" t="str">
        <f aca="false">IF(OR($F129="",$K129=""),"",(YEAR($F129)-YEAR($K129))*12+MONTH($F129)-MONTH($K129))</f>
        <v/>
      </c>
      <c r="N129" s="23" t="str">
        <f aca="false">IF($L129="","",IF(ABS($L129)&lt;=3,"整合",IF($L129&gt;3,"S&amp;P先行：SOP・生産国・世代を確認","ML先行：旧世代込み・先行登録を確認")))</f>
        <v/>
      </c>
      <c r="O129" s="22"/>
      <c r="P129" s="19"/>
    </row>
    <row r="130" customFormat="false" ht="15" hidden="false" customHeight="false" outlineLevel="0" collapsed="false">
      <c r="A130" s="19"/>
      <c r="B130" s="19"/>
      <c r="C130" s="19"/>
      <c r="D130" s="20"/>
      <c r="E130" s="21"/>
      <c r="F130" s="22"/>
      <c r="G130" s="22"/>
      <c r="H130" s="21"/>
      <c r="I130" s="23" t="str">
        <f aca="false">IF($D130="","",IFERROR(INDEX(モデル一覧!$D:$D,MATCH($D130,モデル一覧!$A:$A,0)),"IDなし"))</f>
        <v/>
      </c>
      <c r="J130" s="23" t="str">
        <f aca="false">IF($D130="","",IFERROR(INDEX(モデル一覧!$E:$E,MATCH($D130,モデル一覧!$A:$A,0)),"IDなし"))</f>
        <v/>
      </c>
      <c r="K130" s="24" t="str">
        <f aca="false">IF($D130="","",IFERROR(IF(INDEX(モデル一覧!$L:$L,MATCH($D130,モデル一覧!$A:$A,0))="","",DATE(INDEX(モデル一覧!$K:$K,MATCH($D130,モデル一覧!$A:$A,0)),INDEX(モデル一覧!$L:$L,MATCH($D130,モデル一覧!$A:$A,0)),1)),""))</f>
        <v/>
      </c>
      <c r="L130" s="25" t="str">
        <f aca="false">IF(OR($F130="",$G130=""),"",(YEAR($F130)-YEAR($G130))*12+MONTH($F130)-MONTH($G130))</f>
        <v/>
      </c>
      <c r="M130" s="25" t="str">
        <f aca="false">IF(OR($F130="",$K130=""),"",(YEAR($F130)-YEAR($K130))*12+MONTH($F130)-MONTH($K130))</f>
        <v/>
      </c>
      <c r="N130" s="23" t="str">
        <f aca="false">IF($L130="","",IF(ABS($L130)&lt;=3,"整合",IF($L130&gt;3,"S&amp;P先行：SOP・生産国・世代を確認","ML先行：旧世代込み・先行登録を確認")))</f>
        <v/>
      </c>
      <c r="O130" s="22"/>
      <c r="P130" s="19"/>
    </row>
    <row r="131" customFormat="false" ht="15" hidden="false" customHeight="false" outlineLevel="0" collapsed="false">
      <c r="A131" s="19"/>
      <c r="B131" s="19"/>
      <c r="C131" s="19"/>
      <c r="D131" s="20"/>
      <c r="E131" s="21"/>
      <c r="F131" s="22"/>
      <c r="G131" s="22"/>
      <c r="H131" s="21"/>
      <c r="I131" s="23" t="str">
        <f aca="false">IF($D131="","",IFERROR(INDEX(モデル一覧!$D:$D,MATCH($D131,モデル一覧!$A:$A,0)),"IDなし"))</f>
        <v/>
      </c>
      <c r="J131" s="23" t="str">
        <f aca="false">IF($D131="","",IFERROR(INDEX(モデル一覧!$E:$E,MATCH($D131,モデル一覧!$A:$A,0)),"IDなし"))</f>
        <v/>
      </c>
      <c r="K131" s="24" t="str">
        <f aca="false">IF($D131="","",IFERROR(IF(INDEX(モデル一覧!$L:$L,MATCH($D131,モデル一覧!$A:$A,0))="","",DATE(INDEX(モデル一覧!$K:$K,MATCH($D131,モデル一覧!$A:$A,0)),INDEX(モデル一覧!$L:$L,MATCH($D131,モデル一覧!$A:$A,0)),1)),""))</f>
        <v/>
      </c>
      <c r="L131" s="25" t="str">
        <f aca="false">IF(OR($F131="",$G131=""),"",(YEAR($F131)-YEAR($G131))*12+MONTH($F131)-MONTH($G131))</f>
        <v/>
      </c>
      <c r="M131" s="25" t="str">
        <f aca="false">IF(OR($F131="",$K131=""),"",(YEAR($F131)-YEAR($K131))*12+MONTH($F131)-MONTH($K131))</f>
        <v/>
      </c>
      <c r="N131" s="23" t="str">
        <f aca="false">IF($L131="","",IF(ABS($L131)&lt;=3,"整合",IF($L131&gt;3,"S&amp;P先行：SOP・生産国・世代を確認","ML先行：旧世代込み・先行登録を確認")))</f>
        <v/>
      </c>
      <c r="O131" s="22"/>
      <c r="P131" s="19"/>
    </row>
    <row r="132" customFormat="false" ht="15" hidden="false" customHeight="false" outlineLevel="0" collapsed="false">
      <c r="A132" s="19"/>
      <c r="B132" s="19"/>
      <c r="C132" s="19"/>
      <c r="D132" s="20"/>
      <c r="E132" s="21"/>
      <c r="F132" s="22"/>
      <c r="G132" s="22"/>
      <c r="H132" s="21"/>
      <c r="I132" s="23" t="str">
        <f aca="false">IF($D132="","",IFERROR(INDEX(モデル一覧!$D:$D,MATCH($D132,モデル一覧!$A:$A,0)),"IDなし"))</f>
        <v/>
      </c>
      <c r="J132" s="23" t="str">
        <f aca="false">IF($D132="","",IFERROR(INDEX(モデル一覧!$E:$E,MATCH($D132,モデル一覧!$A:$A,0)),"IDなし"))</f>
        <v/>
      </c>
      <c r="K132" s="24" t="str">
        <f aca="false">IF($D132="","",IFERROR(IF(INDEX(モデル一覧!$L:$L,MATCH($D132,モデル一覧!$A:$A,0))="","",DATE(INDEX(モデル一覧!$K:$K,MATCH($D132,モデル一覧!$A:$A,0)),INDEX(モデル一覧!$L:$L,MATCH($D132,モデル一覧!$A:$A,0)),1)),""))</f>
        <v/>
      </c>
      <c r="L132" s="25" t="str">
        <f aca="false">IF(OR($F132="",$G132=""),"",(YEAR($F132)-YEAR($G132))*12+MONTH($F132)-MONTH($G132))</f>
        <v/>
      </c>
      <c r="M132" s="25" t="str">
        <f aca="false">IF(OR($F132="",$K132=""),"",(YEAR($F132)-YEAR($K132))*12+MONTH($F132)-MONTH($K132))</f>
        <v/>
      </c>
      <c r="N132" s="23" t="str">
        <f aca="false">IF($L132="","",IF(ABS($L132)&lt;=3,"整合",IF($L132&gt;3,"S&amp;P先行：SOP・生産国・世代を確認","ML先行：旧世代込み・先行登録を確認")))</f>
        <v/>
      </c>
      <c r="O132" s="22"/>
      <c r="P132" s="19"/>
    </row>
    <row r="133" customFormat="false" ht="15" hidden="false" customHeight="false" outlineLevel="0" collapsed="false">
      <c r="A133" s="19"/>
      <c r="B133" s="19"/>
      <c r="C133" s="19"/>
      <c r="D133" s="20"/>
      <c r="E133" s="21"/>
      <c r="F133" s="22"/>
      <c r="G133" s="22"/>
      <c r="H133" s="21"/>
      <c r="I133" s="23" t="str">
        <f aca="false">IF($D133="","",IFERROR(INDEX(モデル一覧!$D:$D,MATCH($D133,モデル一覧!$A:$A,0)),"IDなし"))</f>
        <v/>
      </c>
      <c r="J133" s="23" t="str">
        <f aca="false">IF($D133="","",IFERROR(INDEX(モデル一覧!$E:$E,MATCH($D133,モデル一覧!$A:$A,0)),"IDなし"))</f>
        <v/>
      </c>
      <c r="K133" s="24" t="str">
        <f aca="false">IF($D133="","",IFERROR(IF(INDEX(モデル一覧!$L:$L,MATCH($D133,モデル一覧!$A:$A,0))="","",DATE(INDEX(モデル一覧!$K:$K,MATCH($D133,モデル一覧!$A:$A,0)),INDEX(モデル一覧!$L:$L,MATCH($D133,モデル一覧!$A:$A,0)),1)),""))</f>
        <v/>
      </c>
      <c r="L133" s="25" t="str">
        <f aca="false">IF(OR($F133="",$G133=""),"",(YEAR($F133)-YEAR($G133))*12+MONTH($F133)-MONTH($G133))</f>
        <v/>
      </c>
      <c r="M133" s="25" t="str">
        <f aca="false">IF(OR($F133="",$K133=""),"",(YEAR($F133)-YEAR($K133))*12+MONTH($F133)-MONTH($K133))</f>
        <v/>
      </c>
      <c r="N133" s="23" t="str">
        <f aca="false">IF($L133="","",IF(ABS($L133)&lt;=3,"整合",IF($L133&gt;3,"S&amp;P先行：SOP・生産国・世代を確認","ML先行：旧世代込み・先行登録を確認")))</f>
        <v/>
      </c>
      <c r="O133" s="22"/>
      <c r="P133" s="19"/>
    </row>
    <row r="134" customFormat="false" ht="15" hidden="false" customHeight="false" outlineLevel="0" collapsed="false">
      <c r="A134" s="19"/>
      <c r="B134" s="19"/>
      <c r="C134" s="19"/>
      <c r="D134" s="20"/>
      <c r="E134" s="21"/>
      <c r="F134" s="22"/>
      <c r="G134" s="22"/>
      <c r="H134" s="21"/>
      <c r="I134" s="23" t="str">
        <f aca="false">IF($D134="","",IFERROR(INDEX(モデル一覧!$D:$D,MATCH($D134,モデル一覧!$A:$A,0)),"IDなし"))</f>
        <v/>
      </c>
      <c r="J134" s="23" t="str">
        <f aca="false">IF($D134="","",IFERROR(INDEX(モデル一覧!$E:$E,MATCH($D134,モデル一覧!$A:$A,0)),"IDなし"))</f>
        <v/>
      </c>
      <c r="K134" s="24" t="str">
        <f aca="false">IF($D134="","",IFERROR(IF(INDEX(モデル一覧!$L:$L,MATCH($D134,モデル一覧!$A:$A,0))="","",DATE(INDEX(モデル一覧!$K:$K,MATCH($D134,モデル一覧!$A:$A,0)),INDEX(モデル一覧!$L:$L,MATCH($D134,モデル一覧!$A:$A,0)),1)),""))</f>
        <v/>
      </c>
      <c r="L134" s="25" t="str">
        <f aca="false">IF(OR($F134="",$G134=""),"",(YEAR($F134)-YEAR($G134))*12+MONTH($F134)-MONTH($G134))</f>
        <v/>
      </c>
      <c r="M134" s="25" t="str">
        <f aca="false">IF(OR($F134="",$K134=""),"",(YEAR($F134)-YEAR($K134))*12+MONTH($F134)-MONTH($K134))</f>
        <v/>
      </c>
      <c r="N134" s="23" t="str">
        <f aca="false">IF($L134="","",IF(ABS($L134)&lt;=3,"整合",IF($L134&gt;3,"S&amp;P先行：SOP・生産国・世代を確認","ML先行：旧世代込み・先行登録を確認")))</f>
        <v/>
      </c>
      <c r="O134" s="22"/>
      <c r="P134" s="19"/>
    </row>
    <row r="135" customFormat="false" ht="15" hidden="false" customHeight="false" outlineLevel="0" collapsed="false">
      <c r="A135" s="19"/>
      <c r="B135" s="19"/>
      <c r="C135" s="19"/>
      <c r="D135" s="20"/>
      <c r="E135" s="21"/>
      <c r="F135" s="22"/>
      <c r="G135" s="22"/>
      <c r="H135" s="21"/>
      <c r="I135" s="23" t="str">
        <f aca="false">IF($D135="","",IFERROR(INDEX(モデル一覧!$D:$D,MATCH($D135,モデル一覧!$A:$A,0)),"IDなし"))</f>
        <v/>
      </c>
      <c r="J135" s="23" t="str">
        <f aca="false">IF($D135="","",IFERROR(INDEX(モデル一覧!$E:$E,MATCH($D135,モデル一覧!$A:$A,0)),"IDなし"))</f>
        <v/>
      </c>
      <c r="K135" s="24" t="str">
        <f aca="false">IF($D135="","",IFERROR(IF(INDEX(モデル一覧!$L:$L,MATCH($D135,モデル一覧!$A:$A,0))="","",DATE(INDEX(モデル一覧!$K:$K,MATCH($D135,モデル一覧!$A:$A,0)),INDEX(モデル一覧!$L:$L,MATCH($D135,モデル一覧!$A:$A,0)),1)),""))</f>
        <v/>
      </c>
      <c r="L135" s="25" t="str">
        <f aca="false">IF(OR($F135="",$G135=""),"",(YEAR($F135)-YEAR($G135))*12+MONTH($F135)-MONTH($G135))</f>
        <v/>
      </c>
      <c r="M135" s="25" t="str">
        <f aca="false">IF(OR($F135="",$K135=""),"",(YEAR($F135)-YEAR($K135))*12+MONTH($F135)-MONTH($K135))</f>
        <v/>
      </c>
      <c r="N135" s="23" t="str">
        <f aca="false">IF($L135="","",IF(ABS($L135)&lt;=3,"整合",IF($L135&gt;3,"S&amp;P先行：SOP・生産国・世代を確認","ML先行：旧世代込み・先行登録を確認")))</f>
        <v/>
      </c>
      <c r="O135" s="22"/>
      <c r="P135" s="19"/>
    </row>
    <row r="136" customFormat="false" ht="15" hidden="false" customHeight="false" outlineLevel="0" collapsed="false">
      <c r="A136" s="19"/>
      <c r="B136" s="19"/>
      <c r="C136" s="19"/>
      <c r="D136" s="20"/>
      <c r="E136" s="21"/>
      <c r="F136" s="22"/>
      <c r="G136" s="22"/>
      <c r="H136" s="21"/>
      <c r="I136" s="23" t="str">
        <f aca="false">IF($D136="","",IFERROR(INDEX(モデル一覧!$D:$D,MATCH($D136,モデル一覧!$A:$A,0)),"IDなし"))</f>
        <v/>
      </c>
      <c r="J136" s="23" t="str">
        <f aca="false">IF($D136="","",IFERROR(INDEX(モデル一覧!$E:$E,MATCH($D136,モデル一覧!$A:$A,0)),"IDなし"))</f>
        <v/>
      </c>
      <c r="K136" s="24" t="str">
        <f aca="false">IF($D136="","",IFERROR(IF(INDEX(モデル一覧!$L:$L,MATCH($D136,モデル一覧!$A:$A,0))="","",DATE(INDEX(モデル一覧!$K:$K,MATCH($D136,モデル一覧!$A:$A,0)),INDEX(モデル一覧!$L:$L,MATCH($D136,モデル一覧!$A:$A,0)),1)),""))</f>
        <v/>
      </c>
      <c r="L136" s="25" t="str">
        <f aca="false">IF(OR($F136="",$G136=""),"",(YEAR($F136)-YEAR($G136))*12+MONTH($F136)-MONTH($G136))</f>
        <v/>
      </c>
      <c r="M136" s="25" t="str">
        <f aca="false">IF(OR($F136="",$K136=""),"",(YEAR($F136)-YEAR($K136))*12+MONTH($F136)-MONTH($K136))</f>
        <v/>
      </c>
      <c r="N136" s="23" t="str">
        <f aca="false">IF($L136="","",IF(ABS($L136)&lt;=3,"整合",IF($L136&gt;3,"S&amp;P先行：SOP・生産国・世代を確認","ML先行：旧世代込み・先行登録を確認")))</f>
        <v/>
      </c>
      <c r="O136" s="22"/>
      <c r="P136" s="19"/>
    </row>
    <row r="137" customFormat="false" ht="15" hidden="false" customHeight="false" outlineLevel="0" collapsed="false">
      <c r="A137" s="19"/>
      <c r="B137" s="19"/>
      <c r="C137" s="19"/>
      <c r="D137" s="20"/>
      <c r="E137" s="21"/>
      <c r="F137" s="22"/>
      <c r="G137" s="22"/>
      <c r="H137" s="21"/>
      <c r="I137" s="23" t="str">
        <f aca="false">IF($D137="","",IFERROR(INDEX(モデル一覧!$D:$D,MATCH($D137,モデル一覧!$A:$A,0)),"IDなし"))</f>
        <v/>
      </c>
      <c r="J137" s="23" t="str">
        <f aca="false">IF($D137="","",IFERROR(INDEX(モデル一覧!$E:$E,MATCH($D137,モデル一覧!$A:$A,0)),"IDなし"))</f>
        <v/>
      </c>
      <c r="K137" s="24" t="str">
        <f aca="false">IF($D137="","",IFERROR(IF(INDEX(モデル一覧!$L:$L,MATCH($D137,モデル一覧!$A:$A,0))="","",DATE(INDEX(モデル一覧!$K:$K,MATCH($D137,モデル一覧!$A:$A,0)),INDEX(モデル一覧!$L:$L,MATCH($D137,モデル一覧!$A:$A,0)),1)),""))</f>
        <v/>
      </c>
      <c r="L137" s="25" t="str">
        <f aca="false">IF(OR($F137="",$G137=""),"",(YEAR($F137)-YEAR($G137))*12+MONTH($F137)-MONTH($G137))</f>
        <v/>
      </c>
      <c r="M137" s="25" t="str">
        <f aca="false">IF(OR($F137="",$K137=""),"",(YEAR($F137)-YEAR($K137))*12+MONTH($F137)-MONTH($K137))</f>
        <v/>
      </c>
      <c r="N137" s="23" t="str">
        <f aca="false">IF($L137="","",IF(ABS($L137)&lt;=3,"整合",IF($L137&gt;3,"S&amp;P先行：SOP・生産国・世代を確認","ML先行：旧世代込み・先行登録を確認")))</f>
        <v/>
      </c>
      <c r="O137" s="22"/>
      <c r="P137" s="19"/>
    </row>
    <row r="138" customFormat="false" ht="15" hidden="false" customHeight="false" outlineLevel="0" collapsed="false">
      <c r="A138" s="19"/>
      <c r="B138" s="19"/>
      <c r="C138" s="19"/>
      <c r="D138" s="20"/>
      <c r="E138" s="21"/>
      <c r="F138" s="22"/>
      <c r="G138" s="22"/>
      <c r="H138" s="21"/>
      <c r="I138" s="23" t="str">
        <f aca="false">IF($D138="","",IFERROR(INDEX(モデル一覧!$D:$D,MATCH($D138,モデル一覧!$A:$A,0)),"IDなし"))</f>
        <v/>
      </c>
      <c r="J138" s="23" t="str">
        <f aca="false">IF($D138="","",IFERROR(INDEX(モデル一覧!$E:$E,MATCH($D138,モデル一覧!$A:$A,0)),"IDなし"))</f>
        <v/>
      </c>
      <c r="K138" s="24" t="str">
        <f aca="false">IF($D138="","",IFERROR(IF(INDEX(モデル一覧!$L:$L,MATCH($D138,モデル一覧!$A:$A,0))="","",DATE(INDEX(モデル一覧!$K:$K,MATCH($D138,モデル一覧!$A:$A,0)),INDEX(モデル一覧!$L:$L,MATCH($D138,モデル一覧!$A:$A,0)),1)),""))</f>
        <v/>
      </c>
      <c r="L138" s="25" t="str">
        <f aca="false">IF(OR($F138="",$G138=""),"",(YEAR($F138)-YEAR($G138))*12+MONTH($F138)-MONTH($G138))</f>
        <v/>
      </c>
      <c r="M138" s="25" t="str">
        <f aca="false">IF(OR($F138="",$K138=""),"",(YEAR($F138)-YEAR($K138))*12+MONTH($F138)-MONTH($K138))</f>
        <v/>
      </c>
      <c r="N138" s="23" t="str">
        <f aca="false">IF($L138="","",IF(ABS($L138)&lt;=3,"整合",IF($L138&gt;3,"S&amp;P先行：SOP・生産国・世代を確認","ML先行：旧世代込み・先行登録を確認")))</f>
        <v/>
      </c>
      <c r="O138" s="22"/>
      <c r="P138" s="19"/>
    </row>
    <row r="139" customFormat="false" ht="15" hidden="false" customHeight="false" outlineLevel="0" collapsed="false">
      <c r="A139" s="19"/>
      <c r="B139" s="19"/>
      <c r="C139" s="19"/>
      <c r="D139" s="20"/>
      <c r="E139" s="21"/>
      <c r="F139" s="22"/>
      <c r="G139" s="22"/>
      <c r="H139" s="21"/>
      <c r="I139" s="23" t="str">
        <f aca="false">IF($D139="","",IFERROR(INDEX(モデル一覧!$D:$D,MATCH($D139,モデル一覧!$A:$A,0)),"IDなし"))</f>
        <v/>
      </c>
      <c r="J139" s="23" t="str">
        <f aca="false">IF($D139="","",IFERROR(INDEX(モデル一覧!$E:$E,MATCH($D139,モデル一覧!$A:$A,0)),"IDなし"))</f>
        <v/>
      </c>
      <c r="K139" s="24" t="str">
        <f aca="false">IF($D139="","",IFERROR(IF(INDEX(モデル一覧!$L:$L,MATCH($D139,モデル一覧!$A:$A,0))="","",DATE(INDEX(モデル一覧!$K:$K,MATCH($D139,モデル一覧!$A:$A,0)),INDEX(モデル一覧!$L:$L,MATCH($D139,モデル一覧!$A:$A,0)),1)),""))</f>
        <v/>
      </c>
      <c r="L139" s="25" t="str">
        <f aca="false">IF(OR($F139="",$G139=""),"",(YEAR($F139)-YEAR($G139))*12+MONTH($F139)-MONTH($G139))</f>
        <v/>
      </c>
      <c r="M139" s="25" t="str">
        <f aca="false">IF(OR($F139="",$K139=""),"",(YEAR($F139)-YEAR($K139))*12+MONTH($F139)-MONTH($K139))</f>
        <v/>
      </c>
      <c r="N139" s="23" t="str">
        <f aca="false">IF($L139="","",IF(ABS($L139)&lt;=3,"整合",IF($L139&gt;3,"S&amp;P先行：SOP・生産国・世代を確認","ML先行：旧世代込み・先行登録を確認")))</f>
        <v/>
      </c>
      <c r="O139" s="22"/>
      <c r="P139" s="19"/>
    </row>
    <row r="140" customFormat="false" ht="15" hidden="false" customHeight="false" outlineLevel="0" collapsed="false">
      <c r="A140" s="19"/>
      <c r="B140" s="19"/>
      <c r="C140" s="19"/>
      <c r="D140" s="20"/>
      <c r="E140" s="21"/>
      <c r="F140" s="22"/>
      <c r="G140" s="22"/>
      <c r="H140" s="21"/>
      <c r="I140" s="23" t="str">
        <f aca="false">IF($D140="","",IFERROR(INDEX(モデル一覧!$D:$D,MATCH($D140,モデル一覧!$A:$A,0)),"IDなし"))</f>
        <v/>
      </c>
      <c r="J140" s="23" t="str">
        <f aca="false">IF($D140="","",IFERROR(INDEX(モデル一覧!$E:$E,MATCH($D140,モデル一覧!$A:$A,0)),"IDなし"))</f>
        <v/>
      </c>
      <c r="K140" s="24" t="str">
        <f aca="false">IF($D140="","",IFERROR(IF(INDEX(モデル一覧!$L:$L,MATCH($D140,モデル一覧!$A:$A,0))="","",DATE(INDEX(モデル一覧!$K:$K,MATCH($D140,モデル一覧!$A:$A,0)),INDEX(モデル一覧!$L:$L,MATCH($D140,モデル一覧!$A:$A,0)),1)),""))</f>
        <v/>
      </c>
      <c r="L140" s="25" t="str">
        <f aca="false">IF(OR($F140="",$G140=""),"",(YEAR($F140)-YEAR($G140))*12+MONTH($F140)-MONTH($G140))</f>
        <v/>
      </c>
      <c r="M140" s="25" t="str">
        <f aca="false">IF(OR($F140="",$K140=""),"",(YEAR($F140)-YEAR($K140))*12+MONTH($F140)-MONTH($K140))</f>
        <v/>
      </c>
      <c r="N140" s="23" t="str">
        <f aca="false">IF($L140="","",IF(ABS($L140)&lt;=3,"整合",IF($L140&gt;3,"S&amp;P先行：SOP・生産国・世代を確認","ML先行：旧世代込み・先行登録を確認")))</f>
        <v/>
      </c>
      <c r="O140" s="22"/>
      <c r="P140" s="19"/>
    </row>
    <row r="141" customFormat="false" ht="15" hidden="false" customHeight="false" outlineLevel="0" collapsed="false">
      <c r="A141" s="19"/>
      <c r="B141" s="19"/>
      <c r="C141" s="19"/>
      <c r="D141" s="20"/>
      <c r="E141" s="21"/>
      <c r="F141" s="22"/>
      <c r="G141" s="22"/>
      <c r="H141" s="21"/>
      <c r="I141" s="23" t="str">
        <f aca="false">IF($D141="","",IFERROR(INDEX(モデル一覧!$D:$D,MATCH($D141,モデル一覧!$A:$A,0)),"IDなし"))</f>
        <v/>
      </c>
      <c r="J141" s="23" t="str">
        <f aca="false">IF($D141="","",IFERROR(INDEX(モデル一覧!$E:$E,MATCH($D141,モデル一覧!$A:$A,0)),"IDなし"))</f>
        <v/>
      </c>
      <c r="K141" s="24" t="str">
        <f aca="false">IF($D141="","",IFERROR(IF(INDEX(モデル一覧!$L:$L,MATCH($D141,モデル一覧!$A:$A,0))="","",DATE(INDEX(モデル一覧!$K:$K,MATCH($D141,モデル一覧!$A:$A,0)),INDEX(モデル一覧!$L:$L,MATCH($D141,モデル一覧!$A:$A,0)),1)),""))</f>
        <v/>
      </c>
      <c r="L141" s="25" t="str">
        <f aca="false">IF(OR($F141="",$G141=""),"",(YEAR($F141)-YEAR($G141))*12+MONTH($F141)-MONTH($G141))</f>
        <v/>
      </c>
      <c r="M141" s="25" t="str">
        <f aca="false">IF(OR($F141="",$K141=""),"",(YEAR($F141)-YEAR($K141))*12+MONTH($F141)-MONTH($K141))</f>
        <v/>
      </c>
      <c r="N141" s="23" t="str">
        <f aca="false">IF($L141="","",IF(ABS($L141)&lt;=3,"整合",IF($L141&gt;3,"S&amp;P先行：SOP・生産国・世代を確認","ML先行：旧世代込み・先行登録を確認")))</f>
        <v/>
      </c>
      <c r="O141" s="22"/>
      <c r="P141" s="19"/>
    </row>
    <row r="142" customFormat="false" ht="15" hidden="false" customHeight="false" outlineLevel="0" collapsed="false">
      <c r="A142" s="19"/>
      <c r="B142" s="19"/>
      <c r="C142" s="19"/>
      <c r="D142" s="20"/>
      <c r="E142" s="21"/>
      <c r="F142" s="22"/>
      <c r="G142" s="22"/>
      <c r="H142" s="21"/>
      <c r="I142" s="23" t="str">
        <f aca="false">IF($D142="","",IFERROR(INDEX(モデル一覧!$D:$D,MATCH($D142,モデル一覧!$A:$A,0)),"IDなし"))</f>
        <v/>
      </c>
      <c r="J142" s="23" t="str">
        <f aca="false">IF($D142="","",IFERROR(INDEX(モデル一覧!$E:$E,MATCH($D142,モデル一覧!$A:$A,0)),"IDなし"))</f>
        <v/>
      </c>
      <c r="K142" s="24" t="str">
        <f aca="false">IF($D142="","",IFERROR(IF(INDEX(モデル一覧!$L:$L,MATCH($D142,モデル一覧!$A:$A,0))="","",DATE(INDEX(モデル一覧!$K:$K,MATCH($D142,モデル一覧!$A:$A,0)),INDEX(モデル一覧!$L:$L,MATCH($D142,モデル一覧!$A:$A,0)),1)),""))</f>
        <v/>
      </c>
      <c r="L142" s="25" t="str">
        <f aca="false">IF(OR($F142="",$G142=""),"",(YEAR($F142)-YEAR($G142))*12+MONTH($F142)-MONTH($G142))</f>
        <v/>
      </c>
      <c r="M142" s="25" t="str">
        <f aca="false">IF(OR($F142="",$K142=""),"",(YEAR($F142)-YEAR($K142))*12+MONTH($F142)-MONTH($K142))</f>
        <v/>
      </c>
      <c r="N142" s="23" t="str">
        <f aca="false">IF($L142="","",IF(ABS($L142)&lt;=3,"整合",IF($L142&gt;3,"S&amp;P先行：SOP・生産国・世代を確認","ML先行：旧世代込み・先行登録を確認")))</f>
        <v/>
      </c>
      <c r="O142" s="22"/>
      <c r="P142" s="19"/>
    </row>
    <row r="143" customFormat="false" ht="15" hidden="false" customHeight="false" outlineLevel="0" collapsed="false">
      <c r="A143" s="19"/>
      <c r="B143" s="19"/>
      <c r="C143" s="19"/>
      <c r="D143" s="20"/>
      <c r="E143" s="21"/>
      <c r="F143" s="22"/>
      <c r="G143" s="22"/>
      <c r="H143" s="21"/>
      <c r="I143" s="23" t="str">
        <f aca="false">IF($D143="","",IFERROR(INDEX(モデル一覧!$D:$D,MATCH($D143,モデル一覧!$A:$A,0)),"IDなし"))</f>
        <v/>
      </c>
      <c r="J143" s="23" t="str">
        <f aca="false">IF($D143="","",IFERROR(INDEX(モデル一覧!$E:$E,MATCH($D143,モデル一覧!$A:$A,0)),"IDなし"))</f>
        <v/>
      </c>
      <c r="K143" s="24" t="str">
        <f aca="false">IF($D143="","",IFERROR(IF(INDEX(モデル一覧!$L:$L,MATCH($D143,モデル一覧!$A:$A,0))="","",DATE(INDEX(モデル一覧!$K:$K,MATCH($D143,モデル一覧!$A:$A,0)),INDEX(モデル一覧!$L:$L,MATCH($D143,モデル一覧!$A:$A,0)),1)),""))</f>
        <v/>
      </c>
      <c r="L143" s="25" t="str">
        <f aca="false">IF(OR($F143="",$G143=""),"",(YEAR($F143)-YEAR($G143))*12+MONTH($F143)-MONTH($G143))</f>
        <v/>
      </c>
      <c r="M143" s="25" t="str">
        <f aca="false">IF(OR($F143="",$K143=""),"",(YEAR($F143)-YEAR($K143))*12+MONTH($F143)-MONTH($K143))</f>
        <v/>
      </c>
      <c r="N143" s="23" t="str">
        <f aca="false">IF($L143="","",IF(ABS($L143)&lt;=3,"整合",IF($L143&gt;3,"S&amp;P先行：SOP・生産国・世代を確認","ML先行：旧世代込み・先行登録を確認")))</f>
        <v/>
      </c>
      <c r="O143" s="22"/>
      <c r="P143" s="19"/>
    </row>
    <row r="144" customFormat="false" ht="15" hidden="false" customHeight="false" outlineLevel="0" collapsed="false">
      <c r="A144" s="19"/>
      <c r="B144" s="19"/>
      <c r="C144" s="19"/>
      <c r="D144" s="20"/>
      <c r="E144" s="21"/>
      <c r="F144" s="22"/>
      <c r="G144" s="22"/>
      <c r="H144" s="21"/>
      <c r="I144" s="23" t="str">
        <f aca="false">IF($D144="","",IFERROR(INDEX(モデル一覧!$D:$D,MATCH($D144,モデル一覧!$A:$A,0)),"IDなし"))</f>
        <v/>
      </c>
      <c r="J144" s="23" t="str">
        <f aca="false">IF($D144="","",IFERROR(INDEX(モデル一覧!$E:$E,MATCH($D144,モデル一覧!$A:$A,0)),"IDなし"))</f>
        <v/>
      </c>
      <c r="K144" s="24" t="str">
        <f aca="false">IF($D144="","",IFERROR(IF(INDEX(モデル一覧!$L:$L,MATCH($D144,モデル一覧!$A:$A,0))="","",DATE(INDEX(モデル一覧!$K:$K,MATCH($D144,モデル一覧!$A:$A,0)),INDEX(モデル一覧!$L:$L,MATCH($D144,モデル一覧!$A:$A,0)),1)),""))</f>
        <v/>
      </c>
      <c r="L144" s="25" t="str">
        <f aca="false">IF(OR($F144="",$G144=""),"",(YEAR($F144)-YEAR($G144))*12+MONTH($F144)-MONTH($G144))</f>
        <v/>
      </c>
      <c r="M144" s="25" t="str">
        <f aca="false">IF(OR($F144="",$K144=""),"",(YEAR($F144)-YEAR($K144))*12+MONTH($F144)-MONTH($K144))</f>
        <v/>
      </c>
      <c r="N144" s="23" t="str">
        <f aca="false">IF($L144="","",IF(ABS($L144)&lt;=3,"整合",IF($L144&gt;3,"S&amp;P先行：SOP・生産国・世代を確認","ML先行：旧世代込み・先行登録を確認")))</f>
        <v/>
      </c>
      <c r="O144" s="22"/>
      <c r="P144" s="19"/>
    </row>
    <row r="145" customFormat="false" ht="15" hidden="false" customHeight="false" outlineLevel="0" collapsed="false">
      <c r="A145" s="19"/>
      <c r="B145" s="19"/>
      <c r="C145" s="19"/>
      <c r="D145" s="20"/>
      <c r="E145" s="21"/>
      <c r="F145" s="22"/>
      <c r="G145" s="22"/>
      <c r="H145" s="21"/>
      <c r="I145" s="23" t="str">
        <f aca="false">IF($D145="","",IFERROR(INDEX(モデル一覧!$D:$D,MATCH($D145,モデル一覧!$A:$A,0)),"IDなし"))</f>
        <v/>
      </c>
      <c r="J145" s="23" t="str">
        <f aca="false">IF($D145="","",IFERROR(INDEX(モデル一覧!$E:$E,MATCH($D145,モデル一覧!$A:$A,0)),"IDなし"))</f>
        <v/>
      </c>
      <c r="K145" s="24" t="str">
        <f aca="false">IF($D145="","",IFERROR(IF(INDEX(モデル一覧!$L:$L,MATCH($D145,モデル一覧!$A:$A,0))="","",DATE(INDEX(モデル一覧!$K:$K,MATCH($D145,モデル一覧!$A:$A,0)),INDEX(モデル一覧!$L:$L,MATCH($D145,モデル一覧!$A:$A,0)),1)),""))</f>
        <v/>
      </c>
      <c r="L145" s="25" t="str">
        <f aca="false">IF(OR($F145="",$G145=""),"",(YEAR($F145)-YEAR($G145))*12+MONTH($F145)-MONTH($G145))</f>
        <v/>
      </c>
      <c r="M145" s="25" t="str">
        <f aca="false">IF(OR($F145="",$K145=""),"",(YEAR($F145)-YEAR($K145))*12+MONTH($F145)-MONTH($K145))</f>
        <v/>
      </c>
      <c r="N145" s="23" t="str">
        <f aca="false">IF($L145="","",IF(ABS($L145)&lt;=3,"整合",IF($L145&gt;3,"S&amp;P先行：SOP・生産国・世代を確認","ML先行：旧世代込み・先行登録を確認")))</f>
        <v/>
      </c>
      <c r="O145" s="22"/>
      <c r="P145" s="19"/>
    </row>
    <row r="146" customFormat="false" ht="15" hidden="false" customHeight="false" outlineLevel="0" collapsed="false">
      <c r="A146" s="19"/>
      <c r="B146" s="19"/>
      <c r="C146" s="19"/>
      <c r="D146" s="20"/>
      <c r="E146" s="21"/>
      <c r="F146" s="22"/>
      <c r="G146" s="22"/>
      <c r="H146" s="21"/>
      <c r="I146" s="23" t="str">
        <f aca="false">IF($D146="","",IFERROR(INDEX(モデル一覧!$D:$D,MATCH($D146,モデル一覧!$A:$A,0)),"IDなし"))</f>
        <v/>
      </c>
      <c r="J146" s="23" t="str">
        <f aca="false">IF($D146="","",IFERROR(INDEX(モデル一覧!$E:$E,MATCH($D146,モデル一覧!$A:$A,0)),"IDなし"))</f>
        <v/>
      </c>
      <c r="K146" s="24" t="str">
        <f aca="false">IF($D146="","",IFERROR(IF(INDEX(モデル一覧!$L:$L,MATCH($D146,モデル一覧!$A:$A,0))="","",DATE(INDEX(モデル一覧!$K:$K,MATCH($D146,モデル一覧!$A:$A,0)),INDEX(モデル一覧!$L:$L,MATCH($D146,モデル一覧!$A:$A,0)),1)),""))</f>
        <v/>
      </c>
      <c r="L146" s="25" t="str">
        <f aca="false">IF(OR($F146="",$G146=""),"",(YEAR($F146)-YEAR($G146))*12+MONTH($F146)-MONTH($G146))</f>
        <v/>
      </c>
      <c r="M146" s="25" t="str">
        <f aca="false">IF(OR($F146="",$K146=""),"",(YEAR($F146)-YEAR($K146))*12+MONTH($F146)-MONTH($K146))</f>
        <v/>
      </c>
      <c r="N146" s="23" t="str">
        <f aca="false">IF($L146="","",IF(ABS($L146)&lt;=3,"整合",IF($L146&gt;3,"S&amp;P先行：SOP・生産国・世代を確認","ML先行：旧世代込み・先行登録を確認")))</f>
        <v/>
      </c>
      <c r="O146" s="22"/>
      <c r="P146" s="19"/>
    </row>
    <row r="147" customFormat="false" ht="15" hidden="false" customHeight="false" outlineLevel="0" collapsed="false">
      <c r="A147" s="19"/>
      <c r="B147" s="19"/>
      <c r="C147" s="19"/>
      <c r="D147" s="20"/>
      <c r="E147" s="21"/>
      <c r="F147" s="22"/>
      <c r="G147" s="22"/>
      <c r="H147" s="21"/>
      <c r="I147" s="23" t="str">
        <f aca="false">IF($D147="","",IFERROR(INDEX(モデル一覧!$D:$D,MATCH($D147,モデル一覧!$A:$A,0)),"IDなし"))</f>
        <v/>
      </c>
      <c r="J147" s="23" t="str">
        <f aca="false">IF($D147="","",IFERROR(INDEX(モデル一覧!$E:$E,MATCH($D147,モデル一覧!$A:$A,0)),"IDなし"))</f>
        <v/>
      </c>
      <c r="K147" s="24" t="str">
        <f aca="false">IF($D147="","",IFERROR(IF(INDEX(モデル一覧!$L:$L,MATCH($D147,モデル一覧!$A:$A,0))="","",DATE(INDEX(モデル一覧!$K:$K,MATCH($D147,モデル一覧!$A:$A,0)),INDEX(モデル一覧!$L:$L,MATCH($D147,モデル一覧!$A:$A,0)),1)),""))</f>
        <v/>
      </c>
      <c r="L147" s="25" t="str">
        <f aca="false">IF(OR($F147="",$G147=""),"",(YEAR($F147)-YEAR($G147))*12+MONTH($F147)-MONTH($G147))</f>
        <v/>
      </c>
      <c r="M147" s="25" t="str">
        <f aca="false">IF(OR($F147="",$K147=""),"",(YEAR($F147)-YEAR($K147))*12+MONTH($F147)-MONTH($K147))</f>
        <v/>
      </c>
      <c r="N147" s="23" t="str">
        <f aca="false">IF($L147="","",IF(ABS($L147)&lt;=3,"整合",IF($L147&gt;3,"S&amp;P先行：SOP・生産国・世代を確認","ML先行：旧世代込み・先行登録を確認")))</f>
        <v/>
      </c>
      <c r="O147" s="22"/>
      <c r="P147" s="19"/>
    </row>
    <row r="148" customFormat="false" ht="15" hidden="false" customHeight="false" outlineLevel="0" collapsed="false">
      <c r="A148" s="19"/>
      <c r="B148" s="19"/>
      <c r="C148" s="19"/>
      <c r="D148" s="20"/>
      <c r="E148" s="21"/>
      <c r="F148" s="22"/>
      <c r="G148" s="22"/>
      <c r="H148" s="21"/>
      <c r="I148" s="23" t="str">
        <f aca="false">IF($D148="","",IFERROR(INDEX(モデル一覧!$D:$D,MATCH($D148,モデル一覧!$A:$A,0)),"IDなし"))</f>
        <v/>
      </c>
      <c r="J148" s="23" t="str">
        <f aca="false">IF($D148="","",IFERROR(INDEX(モデル一覧!$E:$E,MATCH($D148,モデル一覧!$A:$A,0)),"IDなし"))</f>
        <v/>
      </c>
      <c r="K148" s="24" t="str">
        <f aca="false">IF($D148="","",IFERROR(IF(INDEX(モデル一覧!$L:$L,MATCH($D148,モデル一覧!$A:$A,0))="","",DATE(INDEX(モデル一覧!$K:$K,MATCH($D148,モデル一覧!$A:$A,0)),INDEX(モデル一覧!$L:$L,MATCH($D148,モデル一覧!$A:$A,0)),1)),""))</f>
        <v/>
      </c>
      <c r="L148" s="25" t="str">
        <f aca="false">IF(OR($F148="",$G148=""),"",(YEAR($F148)-YEAR($G148))*12+MONTH($F148)-MONTH($G148))</f>
        <v/>
      </c>
      <c r="M148" s="25" t="str">
        <f aca="false">IF(OR($F148="",$K148=""),"",(YEAR($F148)-YEAR($K148))*12+MONTH($F148)-MONTH($K148))</f>
        <v/>
      </c>
      <c r="N148" s="23" t="str">
        <f aca="false">IF($L148="","",IF(ABS($L148)&lt;=3,"整合",IF($L148&gt;3,"S&amp;P先行：SOP・生産国・世代を確認","ML先行：旧世代込み・先行登録を確認")))</f>
        <v/>
      </c>
      <c r="O148" s="22"/>
      <c r="P148" s="19"/>
    </row>
    <row r="149" customFormat="false" ht="15" hidden="false" customHeight="false" outlineLevel="0" collapsed="false">
      <c r="A149" s="19"/>
      <c r="B149" s="19"/>
      <c r="C149" s="19"/>
      <c r="D149" s="20"/>
      <c r="E149" s="21"/>
      <c r="F149" s="22"/>
      <c r="G149" s="22"/>
      <c r="H149" s="21"/>
      <c r="I149" s="23" t="str">
        <f aca="false">IF($D149="","",IFERROR(INDEX(モデル一覧!$D:$D,MATCH($D149,モデル一覧!$A:$A,0)),"IDなし"))</f>
        <v/>
      </c>
      <c r="J149" s="23" t="str">
        <f aca="false">IF($D149="","",IFERROR(INDEX(モデル一覧!$E:$E,MATCH($D149,モデル一覧!$A:$A,0)),"IDなし"))</f>
        <v/>
      </c>
      <c r="K149" s="24" t="str">
        <f aca="false">IF($D149="","",IFERROR(IF(INDEX(モデル一覧!$L:$L,MATCH($D149,モデル一覧!$A:$A,0))="","",DATE(INDEX(モデル一覧!$K:$K,MATCH($D149,モデル一覧!$A:$A,0)),INDEX(モデル一覧!$L:$L,MATCH($D149,モデル一覧!$A:$A,0)),1)),""))</f>
        <v/>
      </c>
      <c r="L149" s="25" t="str">
        <f aca="false">IF(OR($F149="",$G149=""),"",(YEAR($F149)-YEAR($G149))*12+MONTH($F149)-MONTH($G149))</f>
        <v/>
      </c>
      <c r="M149" s="25" t="str">
        <f aca="false">IF(OR($F149="",$K149=""),"",(YEAR($F149)-YEAR($K149))*12+MONTH($F149)-MONTH($K149))</f>
        <v/>
      </c>
      <c r="N149" s="23" t="str">
        <f aca="false">IF($L149="","",IF(ABS($L149)&lt;=3,"整合",IF($L149&gt;3,"S&amp;P先行：SOP・生産国・世代を確認","ML先行：旧世代込み・先行登録を確認")))</f>
        <v/>
      </c>
      <c r="O149" s="22"/>
      <c r="P149" s="19"/>
    </row>
    <row r="150" customFormat="false" ht="15" hidden="false" customHeight="false" outlineLevel="0" collapsed="false">
      <c r="A150" s="19"/>
      <c r="B150" s="19"/>
      <c r="C150" s="19"/>
      <c r="D150" s="20"/>
      <c r="E150" s="21"/>
      <c r="F150" s="22"/>
      <c r="G150" s="22"/>
      <c r="H150" s="21"/>
      <c r="I150" s="23" t="str">
        <f aca="false">IF($D150="","",IFERROR(INDEX(モデル一覧!$D:$D,MATCH($D150,モデル一覧!$A:$A,0)),"IDなし"))</f>
        <v/>
      </c>
      <c r="J150" s="23" t="str">
        <f aca="false">IF($D150="","",IFERROR(INDEX(モデル一覧!$E:$E,MATCH($D150,モデル一覧!$A:$A,0)),"IDなし"))</f>
        <v/>
      </c>
      <c r="K150" s="24" t="str">
        <f aca="false">IF($D150="","",IFERROR(IF(INDEX(モデル一覧!$L:$L,MATCH($D150,モデル一覧!$A:$A,0))="","",DATE(INDEX(モデル一覧!$K:$K,MATCH($D150,モデル一覧!$A:$A,0)),INDEX(モデル一覧!$L:$L,MATCH($D150,モデル一覧!$A:$A,0)),1)),""))</f>
        <v/>
      </c>
      <c r="L150" s="25" t="str">
        <f aca="false">IF(OR($F150="",$G150=""),"",(YEAR($F150)-YEAR($G150))*12+MONTH($F150)-MONTH($G150))</f>
        <v/>
      </c>
      <c r="M150" s="25" t="str">
        <f aca="false">IF(OR($F150="",$K150=""),"",(YEAR($F150)-YEAR($K150))*12+MONTH($F150)-MONTH($K150))</f>
        <v/>
      </c>
      <c r="N150" s="23" t="str">
        <f aca="false">IF($L150="","",IF(ABS($L150)&lt;=3,"整合",IF($L150&gt;3,"S&amp;P先行：SOP・生産国・世代を確認","ML先行：旧世代込み・先行登録を確認")))</f>
        <v/>
      </c>
      <c r="O150" s="22"/>
      <c r="P150" s="19"/>
    </row>
    <row r="151" customFormat="false" ht="15" hidden="false" customHeight="false" outlineLevel="0" collapsed="false">
      <c r="A151" s="19"/>
      <c r="B151" s="19"/>
      <c r="C151" s="19"/>
      <c r="D151" s="20"/>
      <c r="E151" s="21"/>
      <c r="F151" s="22"/>
      <c r="G151" s="22"/>
      <c r="H151" s="21"/>
      <c r="I151" s="23" t="str">
        <f aca="false">IF($D151="","",IFERROR(INDEX(モデル一覧!$D:$D,MATCH($D151,モデル一覧!$A:$A,0)),"IDなし"))</f>
        <v/>
      </c>
      <c r="J151" s="23" t="str">
        <f aca="false">IF($D151="","",IFERROR(INDEX(モデル一覧!$E:$E,MATCH($D151,モデル一覧!$A:$A,0)),"IDなし"))</f>
        <v/>
      </c>
      <c r="K151" s="24" t="str">
        <f aca="false">IF($D151="","",IFERROR(IF(INDEX(モデル一覧!$L:$L,MATCH($D151,モデル一覧!$A:$A,0))="","",DATE(INDEX(モデル一覧!$K:$K,MATCH($D151,モデル一覧!$A:$A,0)),INDEX(モデル一覧!$L:$L,MATCH($D151,モデル一覧!$A:$A,0)),1)),""))</f>
        <v/>
      </c>
      <c r="L151" s="25" t="str">
        <f aca="false">IF(OR($F151="",$G151=""),"",(YEAR($F151)-YEAR($G151))*12+MONTH($F151)-MONTH($G151))</f>
        <v/>
      </c>
      <c r="M151" s="25" t="str">
        <f aca="false">IF(OR($F151="",$K151=""),"",(YEAR($F151)-YEAR($K151))*12+MONTH($F151)-MONTH($K151))</f>
        <v/>
      </c>
      <c r="N151" s="23" t="str">
        <f aca="false">IF($L151="","",IF(ABS($L151)&lt;=3,"整合",IF($L151&gt;3,"S&amp;P先行：SOP・生産国・世代を確認","ML先行：旧世代込み・先行登録を確認")))</f>
        <v/>
      </c>
      <c r="O151" s="22"/>
      <c r="P151" s="19"/>
    </row>
    <row r="152" customFormat="false" ht="15" hidden="false" customHeight="false" outlineLevel="0" collapsed="false">
      <c r="A152" s="19"/>
      <c r="B152" s="19"/>
      <c r="C152" s="19"/>
      <c r="D152" s="20"/>
      <c r="E152" s="21"/>
      <c r="F152" s="22"/>
      <c r="G152" s="22"/>
      <c r="H152" s="21"/>
      <c r="I152" s="23" t="str">
        <f aca="false">IF($D152="","",IFERROR(INDEX(モデル一覧!$D:$D,MATCH($D152,モデル一覧!$A:$A,0)),"IDなし"))</f>
        <v/>
      </c>
      <c r="J152" s="23" t="str">
        <f aca="false">IF($D152="","",IFERROR(INDEX(モデル一覧!$E:$E,MATCH($D152,モデル一覧!$A:$A,0)),"IDなし"))</f>
        <v/>
      </c>
      <c r="K152" s="24" t="str">
        <f aca="false">IF($D152="","",IFERROR(IF(INDEX(モデル一覧!$L:$L,MATCH($D152,モデル一覧!$A:$A,0))="","",DATE(INDEX(モデル一覧!$K:$K,MATCH($D152,モデル一覧!$A:$A,0)),INDEX(モデル一覧!$L:$L,MATCH($D152,モデル一覧!$A:$A,0)),1)),""))</f>
        <v/>
      </c>
      <c r="L152" s="25" t="str">
        <f aca="false">IF(OR($F152="",$G152=""),"",(YEAR($F152)-YEAR($G152))*12+MONTH($F152)-MONTH($G152))</f>
        <v/>
      </c>
      <c r="M152" s="25" t="str">
        <f aca="false">IF(OR($F152="",$K152=""),"",(YEAR($F152)-YEAR($K152))*12+MONTH($F152)-MONTH($K152))</f>
        <v/>
      </c>
      <c r="N152" s="23" t="str">
        <f aca="false">IF($L152="","",IF(ABS($L152)&lt;=3,"整合",IF($L152&gt;3,"S&amp;P先行：SOP・生産国・世代を確認","ML先行：旧世代込み・先行登録を確認")))</f>
        <v/>
      </c>
      <c r="O152" s="22"/>
      <c r="P152" s="19"/>
    </row>
    <row r="153" customFormat="false" ht="15" hidden="false" customHeight="false" outlineLevel="0" collapsed="false">
      <c r="A153" s="19"/>
      <c r="B153" s="19"/>
      <c r="C153" s="19"/>
      <c r="D153" s="20"/>
      <c r="E153" s="21"/>
      <c r="F153" s="22"/>
      <c r="G153" s="22"/>
      <c r="H153" s="21"/>
      <c r="I153" s="23" t="str">
        <f aca="false">IF($D153="","",IFERROR(INDEX(モデル一覧!$D:$D,MATCH($D153,モデル一覧!$A:$A,0)),"IDなし"))</f>
        <v/>
      </c>
      <c r="J153" s="23" t="str">
        <f aca="false">IF($D153="","",IFERROR(INDEX(モデル一覧!$E:$E,MATCH($D153,モデル一覧!$A:$A,0)),"IDなし"))</f>
        <v/>
      </c>
      <c r="K153" s="24" t="str">
        <f aca="false">IF($D153="","",IFERROR(IF(INDEX(モデル一覧!$L:$L,MATCH($D153,モデル一覧!$A:$A,0))="","",DATE(INDEX(モデル一覧!$K:$K,MATCH($D153,モデル一覧!$A:$A,0)),INDEX(モデル一覧!$L:$L,MATCH($D153,モデル一覧!$A:$A,0)),1)),""))</f>
        <v/>
      </c>
      <c r="L153" s="25" t="str">
        <f aca="false">IF(OR($F153="",$G153=""),"",(YEAR($F153)-YEAR($G153))*12+MONTH($F153)-MONTH($G153))</f>
        <v/>
      </c>
      <c r="M153" s="25" t="str">
        <f aca="false">IF(OR($F153="",$K153=""),"",(YEAR($F153)-YEAR($K153))*12+MONTH($F153)-MONTH($K153))</f>
        <v/>
      </c>
      <c r="N153" s="23" t="str">
        <f aca="false">IF($L153="","",IF(ABS($L153)&lt;=3,"整合",IF($L153&gt;3,"S&amp;P先行：SOP・生産国・世代を確認","ML先行：旧世代込み・先行登録を確認")))</f>
        <v/>
      </c>
      <c r="O153" s="22"/>
      <c r="P153" s="19"/>
    </row>
    <row r="154" customFormat="false" ht="15" hidden="false" customHeight="false" outlineLevel="0" collapsed="false">
      <c r="A154" s="19"/>
      <c r="B154" s="19"/>
      <c r="C154" s="19"/>
      <c r="D154" s="20"/>
      <c r="E154" s="21"/>
      <c r="F154" s="22"/>
      <c r="G154" s="22"/>
      <c r="H154" s="21"/>
      <c r="I154" s="23" t="str">
        <f aca="false">IF($D154="","",IFERROR(INDEX(モデル一覧!$D:$D,MATCH($D154,モデル一覧!$A:$A,0)),"IDなし"))</f>
        <v/>
      </c>
      <c r="J154" s="23" t="str">
        <f aca="false">IF($D154="","",IFERROR(INDEX(モデル一覧!$E:$E,MATCH($D154,モデル一覧!$A:$A,0)),"IDなし"))</f>
        <v/>
      </c>
      <c r="K154" s="24" t="str">
        <f aca="false">IF($D154="","",IFERROR(IF(INDEX(モデル一覧!$L:$L,MATCH($D154,モデル一覧!$A:$A,0))="","",DATE(INDEX(モデル一覧!$K:$K,MATCH($D154,モデル一覧!$A:$A,0)),INDEX(モデル一覧!$L:$L,MATCH($D154,モデル一覧!$A:$A,0)),1)),""))</f>
        <v/>
      </c>
      <c r="L154" s="25" t="str">
        <f aca="false">IF(OR($F154="",$G154=""),"",(YEAR($F154)-YEAR($G154))*12+MONTH($F154)-MONTH($G154))</f>
        <v/>
      </c>
      <c r="M154" s="25" t="str">
        <f aca="false">IF(OR($F154="",$K154=""),"",(YEAR($F154)-YEAR($K154))*12+MONTH($F154)-MONTH($K154))</f>
        <v/>
      </c>
      <c r="N154" s="23" t="str">
        <f aca="false">IF($L154="","",IF(ABS($L154)&lt;=3,"整合",IF($L154&gt;3,"S&amp;P先行：SOP・生産国・世代を確認","ML先行：旧世代込み・先行登録を確認")))</f>
        <v/>
      </c>
      <c r="O154" s="22"/>
      <c r="P154" s="19"/>
    </row>
    <row r="155" customFormat="false" ht="15" hidden="false" customHeight="false" outlineLevel="0" collapsed="false">
      <c r="A155" s="19"/>
      <c r="B155" s="19"/>
      <c r="C155" s="19"/>
      <c r="D155" s="20"/>
      <c r="E155" s="21"/>
      <c r="F155" s="22"/>
      <c r="G155" s="22"/>
      <c r="H155" s="21"/>
      <c r="I155" s="23" t="str">
        <f aca="false">IF($D155="","",IFERROR(INDEX(モデル一覧!$D:$D,MATCH($D155,モデル一覧!$A:$A,0)),"IDなし"))</f>
        <v/>
      </c>
      <c r="J155" s="23" t="str">
        <f aca="false">IF($D155="","",IFERROR(INDEX(モデル一覧!$E:$E,MATCH($D155,モデル一覧!$A:$A,0)),"IDなし"))</f>
        <v/>
      </c>
      <c r="K155" s="24" t="str">
        <f aca="false">IF($D155="","",IFERROR(IF(INDEX(モデル一覧!$L:$L,MATCH($D155,モデル一覧!$A:$A,0))="","",DATE(INDEX(モデル一覧!$K:$K,MATCH($D155,モデル一覧!$A:$A,0)),INDEX(モデル一覧!$L:$L,MATCH($D155,モデル一覧!$A:$A,0)),1)),""))</f>
        <v/>
      </c>
      <c r="L155" s="25" t="str">
        <f aca="false">IF(OR($F155="",$G155=""),"",(YEAR($F155)-YEAR($G155))*12+MONTH($F155)-MONTH($G155))</f>
        <v/>
      </c>
      <c r="M155" s="25" t="str">
        <f aca="false">IF(OR($F155="",$K155=""),"",(YEAR($F155)-YEAR($K155))*12+MONTH($F155)-MONTH($K155))</f>
        <v/>
      </c>
      <c r="N155" s="23" t="str">
        <f aca="false">IF($L155="","",IF(ABS($L155)&lt;=3,"整合",IF($L155&gt;3,"S&amp;P先行：SOP・生産国・世代を確認","ML先行：旧世代込み・先行登録を確認")))</f>
        <v/>
      </c>
      <c r="O155" s="22"/>
      <c r="P155" s="19"/>
    </row>
    <row r="156" customFormat="false" ht="15" hidden="false" customHeight="false" outlineLevel="0" collapsed="false">
      <c r="A156" s="19"/>
      <c r="B156" s="19"/>
      <c r="C156" s="19"/>
      <c r="D156" s="20"/>
      <c r="E156" s="21"/>
      <c r="F156" s="22"/>
      <c r="G156" s="22"/>
      <c r="H156" s="21"/>
      <c r="I156" s="23" t="str">
        <f aca="false">IF($D156="","",IFERROR(INDEX(モデル一覧!$D:$D,MATCH($D156,モデル一覧!$A:$A,0)),"IDなし"))</f>
        <v/>
      </c>
      <c r="J156" s="23" t="str">
        <f aca="false">IF($D156="","",IFERROR(INDEX(モデル一覧!$E:$E,MATCH($D156,モデル一覧!$A:$A,0)),"IDなし"))</f>
        <v/>
      </c>
      <c r="K156" s="24" t="str">
        <f aca="false">IF($D156="","",IFERROR(IF(INDEX(モデル一覧!$L:$L,MATCH($D156,モデル一覧!$A:$A,0))="","",DATE(INDEX(モデル一覧!$K:$K,MATCH($D156,モデル一覧!$A:$A,0)),INDEX(モデル一覧!$L:$L,MATCH($D156,モデル一覧!$A:$A,0)),1)),""))</f>
        <v/>
      </c>
      <c r="L156" s="25" t="str">
        <f aca="false">IF(OR($F156="",$G156=""),"",(YEAR($F156)-YEAR($G156))*12+MONTH($F156)-MONTH($G156))</f>
        <v/>
      </c>
      <c r="M156" s="25" t="str">
        <f aca="false">IF(OR($F156="",$K156=""),"",(YEAR($F156)-YEAR($K156))*12+MONTH($F156)-MONTH($K156))</f>
        <v/>
      </c>
      <c r="N156" s="23" t="str">
        <f aca="false">IF($L156="","",IF(ABS($L156)&lt;=3,"整合",IF($L156&gt;3,"S&amp;P先行：SOP・生産国・世代を確認","ML先行：旧世代込み・先行登録を確認")))</f>
        <v/>
      </c>
      <c r="O156" s="22"/>
      <c r="P156" s="19"/>
    </row>
    <row r="157" customFormat="false" ht="15" hidden="false" customHeight="false" outlineLevel="0" collapsed="false">
      <c r="A157" s="19"/>
      <c r="B157" s="19"/>
      <c r="C157" s="19"/>
      <c r="D157" s="20"/>
      <c r="E157" s="21"/>
      <c r="F157" s="22"/>
      <c r="G157" s="22"/>
      <c r="H157" s="21"/>
      <c r="I157" s="23" t="str">
        <f aca="false">IF($D157="","",IFERROR(INDEX(モデル一覧!$D:$D,MATCH($D157,モデル一覧!$A:$A,0)),"IDなし"))</f>
        <v/>
      </c>
      <c r="J157" s="23" t="str">
        <f aca="false">IF($D157="","",IFERROR(INDEX(モデル一覧!$E:$E,MATCH($D157,モデル一覧!$A:$A,0)),"IDなし"))</f>
        <v/>
      </c>
      <c r="K157" s="24" t="str">
        <f aca="false">IF($D157="","",IFERROR(IF(INDEX(モデル一覧!$L:$L,MATCH($D157,モデル一覧!$A:$A,0))="","",DATE(INDEX(モデル一覧!$K:$K,MATCH($D157,モデル一覧!$A:$A,0)),INDEX(モデル一覧!$L:$L,MATCH($D157,モデル一覧!$A:$A,0)),1)),""))</f>
        <v/>
      </c>
      <c r="L157" s="25" t="str">
        <f aca="false">IF(OR($F157="",$G157=""),"",(YEAR($F157)-YEAR($G157))*12+MONTH($F157)-MONTH($G157))</f>
        <v/>
      </c>
      <c r="M157" s="25" t="str">
        <f aca="false">IF(OR($F157="",$K157=""),"",(YEAR($F157)-YEAR($K157))*12+MONTH($F157)-MONTH($K157))</f>
        <v/>
      </c>
      <c r="N157" s="23" t="str">
        <f aca="false">IF($L157="","",IF(ABS($L157)&lt;=3,"整合",IF($L157&gt;3,"S&amp;P先行：SOP・生産国・世代を確認","ML先行：旧世代込み・先行登録を確認")))</f>
        <v/>
      </c>
      <c r="O157" s="22"/>
      <c r="P157" s="19"/>
    </row>
    <row r="158" customFormat="false" ht="15" hidden="false" customHeight="false" outlineLevel="0" collapsed="false">
      <c r="A158" s="19"/>
      <c r="B158" s="19"/>
      <c r="C158" s="19"/>
      <c r="D158" s="20"/>
      <c r="E158" s="21"/>
      <c r="F158" s="22"/>
      <c r="G158" s="22"/>
      <c r="H158" s="21"/>
      <c r="I158" s="23" t="str">
        <f aca="false">IF($D158="","",IFERROR(INDEX(モデル一覧!$D:$D,MATCH($D158,モデル一覧!$A:$A,0)),"IDなし"))</f>
        <v/>
      </c>
      <c r="J158" s="23" t="str">
        <f aca="false">IF($D158="","",IFERROR(INDEX(モデル一覧!$E:$E,MATCH($D158,モデル一覧!$A:$A,0)),"IDなし"))</f>
        <v/>
      </c>
      <c r="K158" s="24" t="str">
        <f aca="false">IF($D158="","",IFERROR(IF(INDEX(モデル一覧!$L:$L,MATCH($D158,モデル一覧!$A:$A,0))="","",DATE(INDEX(モデル一覧!$K:$K,MATCH($D158,モデル一覧!$A:$A,0)),INDEX(モデル一覧!$L:$L,MATCH($D158,モデル一覧!$A:$A,0)),1)),""))</f>
        <v/>
      </c>
      <c r="L158" s="25" t="str">
        <f aca="false">IF(OR($F158="",$G158=""),"",(YEAR($F158)-YEAR($G158))*12+MONTH($F158)-MONTH($G158))</f>
        <v/>
      </c>
      <c r="M158" s="25" t="str">
        <f aca="false">IF(OR($F158="",$K158=""),"",(YEAR($F158)-YEAR($K158))*12+MONTH($F158)-MONTH($K158))</f>
        <v/>
      </c>
      <c r="N158" s="23" t="str">
        <f aca="false">IF($L158="","",IF(ABS($L158)&lt;=3,"整合",IF($L158&gt;3,"S&amp;P先行：SOP・生産国・世代を確認","ML先行：旧世代込み・先行登録を確認")))</f>
        <v/>
      </c>
      <c r="O158" s="22"/>
      <c r="P158" s="19"/>
    </row>
    <row r="159" customFormat="false" ht="15" hidden="false" customHeight="false" outlineLevel="0" collapsed="false">
      <c r="A159" s="19"/>
      <c r="B159" s="19"/>
      <c r="C159" s="19"/>
      <c r="D159" s="20"/>
      <c r="E159" s="21"/>
      <c r="F159" s="22"/>
      <c r="G159" s="22"/>
      <c r="H159" s="21"/>
      <c r="I159" s="23" t="str">
        <f aca="false">IF($D159="","",IFERROR(INDEX(モデル一覧!$D:$D,MATCH($D159,モデル一覧!$A:$A,0)),"IDなし"))</f>
        <v/>
      </c>
      <c r="J159" s="23" t="str">
        <f aca="false">IF($D159="","",IFERROR(INDEX(モデル一覧!$E:$E,MATCH($D159,モデル一覧!$A:$A,0)),"IDなし"))</f>
        <v/>
      </c>
      <c r="K159" s="24" t="str">
        <f aca="false">IF($D159="","",IFERROR(IF(INDEX(モデル一覧!$L:$L,MATCH($D159,モデル一覧!$A:$A,0))="","",DATE(INDEX(モデル一覧!$K:$K,MATCH($D159,モデル一覧!$A:$A,0)),INDEX(モデル一覧!$L:$L,MATCH($D159,モデル一覧!$A:$A,0)),1)),""))</f>
        <v/>
      </c>
      <c r="L159" s="25" t="str">
        <f aca="false">IF(OR($F159="",$G159=""),"",(YEAR($F159)-YEAR($G159))*12+MONTH($F159)-MONTH($G159))</f>
        <v/>
      </c>
      <c r="M159" s="25" t="str">
        <f aca="false">IF(OR($F159="",$K159=""),"",(YEAR($F159)-YEAR($K159))*12+MONTH($F159)-MONTH($K159))</f>
        <v/>
      </c>
      <c r="N159" s="23" t="str">
        <f aca="false">IF($L159="","",IF(ABS($L159)&lt;=3,"整合",IF($L159&gt;3,"S&amp;P先行：SOP・生産国・世代を確認","ML先行：旧世代込み・先行登録を確認")))</f>
        <v/>
      </c>
      <c r="O159" s="22"/>
      <c r="P159" s="19"/>
    </row>
    <row r="160" customFormat="false" ht="15" hidden="false" customHeight="false" outlineLevel="0" collapsed="false">
      <c r="A160" s="19"/>
      <c r="B160" s="19"/>
      <c r="C160" s="19"/>
      <c r="D160" s="20"/>
      <c r="E160" s="21"/>
      <c r="F160" s="22"/>
      <c r="G160" s="22"/>
      <c r="H160" s="21"/>
      <c r="I160" s="23" t="str">
        <f aca="false">IF($D160="","",IFERROR(INDEX(モデル一覧!$D:$D,MATCH($D160,モデル一覧!$A:$A,0)),"IDなし"))</f>
        <v/>
      </c>
      <c r="J160" s="23" t="str">
        <f aca="false">IF($D160="","",IFERROR(INDEX(モデル一覧!$E:$E,MATCH($D160,モデル一覧!$A:$A,0)),"IDなし"))</f>
        <v/>
      </c>
      <c r="K160" s="24" t="str">
        <f aca="false">IF($D160="","",IFERROR(IF(INDEX(モデル一覧!$L:$L,MATCH($D160,モデル一覧!$A:$A,0))="","",DATE(INDEX(モデル一覧!$K:$K,MATCH($D160,モデル一覧!$A:$A,0)),INDEX(モデル一覧!$L:$L,MATCH($D160,モデル一覧!$A:$A,0)),1)),""))</f>
        <v/>
      </c>
      <c r="L160" s="25" t="str">
        <f aca="false">IF(OR($F160="",$G160=""),"",(YEAR($F160)-YEAR($G160))*12+MONTH($F160)-MONTH($G160))</f>
        <v/>
      </c>
      <c r="M160" s="25" t="str">
        <f aca="false">IF(OR($F160="",$K160=""),"",(YEAR($F160)-YEAR($K160))*12+MONTH($F160)-MONTH($K160))</f>
        <v/>
      </c>
      <c r="N160" s="23" t="str">
        <f aca="false">IF($L160="","",IF(ABS($L160)&lt;=3,"整合",IF($L160&gt;3,"S&amp;P先行：SOP・生産国・世代を確認","ML先行：旧世代込み・先行登録を確認")))</f>
        <v/>
      </c>
      <c r="O160" s="22"/>
      <c r="P160" s="19"/>
    </row>
    <row r="161" customFormat="false" ht="15" hidden="false" customHeight="false" outlineLevel="0" collapsed="false">
      <c r="A161" s="19"/>
      <c r="B161" s="19"/>
      <c r="C161" s="19"/>
      <c r="D161" s="20"/>
      <c r="E161" s="21"/>
      <c r="F161" s="22"/>
      <c r="G161" s="22"/>
      <c r="H161" s="21"/>
      <c r="I161" s="23" t="str">
        <f aca="false">IF($D161="","",IFERROR(INDEX(モデル一覧!$D:$D,MATCH($D161,モデル一覧!$A:$A,0)),"IDなし"))</f>
        <v/>
      </c>
      <c r="J161" s="23" t="str">
        <f aca="false">IF($D161="","",IFERROR(INDEX(モデル一覧!$E:$E,MATCH($D161,モデル一覧!$A:$A,0)),"IDなし"))</f>
        <v/>
      </c>
      <c r="K161" s="24" t="str">
        <f aca="false">IF($D161="","",IFERROR(IF(INDEX(モデル一覧!$L:$L,MATCH($D161,モデル一覧!$A:$A,0))="","",DATE(INDEX(モデル一覧!$K:$K,MATCH($D161,モデル一覧!$A:$A,0)),INDEX(モデル一覧!$L:$L,MATCH($D161,モデル一覧!$A:$A,0)),1)),""))</f>
        <v/>
      </c>
      <c r="L161" s="25" t="str">
        <f aca="false">IF(OR($F161="",$G161=""),"",(YEAR($F161)-YEAR($G161))*12+MONTH($F161)-MONTH($G161))</f>
        <v/>
      </c>
      <c r="M161" s="25" t="str">
        <f aca="false">IF(OR($F161="",$K161=""),"",(YEAR($F161)-YEAR($K161))*12+MONTH($F161)-MONTH($K161))</f>
        <v/>
      </c>
      <c r="N161" s="23" t="str">
        <f aca="false">IF($L161="","",IF(ABS($L161)&lt;=3,"整合",IF($L161&gt;3,"S&amp;P先行：SOP・生産国・世代を確認","ML先行：旧世代込み・先行登録を確認")))</f>
        <v/>
      </c>
      <c r="O161" s="22"/>
      <c r="P161" s="19"/>
    </row>
    <row r="162" customFormat="false" ht="15" hidden="false" customHeight="false" outlineLevel="0" collapsed="false">
      <c r="A162" s="19"/>
      <c r="B162" s="19"/>
      <c r="C162" s="19"/>
      <c r="D162" s="20"/>
      <c r="E162" s="21"/>
      <c r="F162" s="22"/>
      <c r="G162" s="22"/>
      <c r="H162" s="21"/>
      <c r="I162" s="23" t="str">
        <f aca="false">IF($D162="","",IFERROR(INDEX(モデル一覧!$D:$D,MATCH($D162,モデル一覧!$A:$A,0)),"IDなし"))</f>
        <v/>
      </c>
      <c r="J162" s="23" t="str">
        <f aca="false">IF($D162="","",IFERROR(INDEX(モデル一覧!$E:$E,MATCH($D162,モデル一覧!$A:$A,0)),"IDなし"))</f>
        <v/>
      </c>
      <c r="K162" s="24" t="str">
        <f aca="false">IF($D162="","",IFERROR(IF(INDEX(モデル一覧!$L:$L,MATCH($D162,モデル一覧!$A:$A,0))="","",DATE(INDEX(モデル一覧!$K:$K,MATCH($D162,モデル一覧!$A:$A,0)),INDEX(モデル一覧!$L:$L,MATCH($D162,モデル一覧!$A:$A,0)),1)),""))</f>
        <v/>
      </c>
      <c r="L162" s="25" t="str">
        <f aca="false">IF(OR($F162="",$G162=""),"",(YEAR($F162)-YEAR($G162))*12+MONTH($F162)-MONTH($G162))</f>
        <v/>
      </c>
      <c r="M162" s="25" t="str">
        <f aca="false">IF(OR($F162="",$K162=""),"",(YEAR($F162)-YEAR($K162))*12+MONTH($F162)-MONTH($K162))</f>
        <v/>
      </c>
      <c r="N162" s="23" t="str">
        <f aca="false">IF($L162="","",IF(ABS($L162)&lt;=3,"整合",IF($L162&gt;3,"S&amp;P先行：SOP・生産国・世代を確認","ML先行：旧世代込み・先行登録を確認")))</f>
        <v/>
      </c>
      <c r="O162" s="22"/>
      <c r="P162" s="19"/>
    </row>
    <row r="163" customFormat="false" ht="15" hidden="false" customHeight="false" outlineLevel="0" collapsed="false">
      <c r="A163" s="19"/>
      <c r="B163" s="19"/>
      <c r="C163" s="19"/>
      <c r="D163" s="20"/>
      <c r="E163" s="21"/>
      <c r="F163" s="22"/>
      <c r="G163" s="22"/>
      <c r="H163" s="21"/>
      <c r="I163" s="23" t="str">
        <f aca="false">IF($D163="","",IFERROR(INDEX(モデル一覧!$D:$D,MATCH($D163,モデル一覧!$A:$A,0)),"IDなし"))</f>
        <v/>
      </c>
      <c r="J163" s="23" t="str">
        <f aca="false">IF($D163="","",IFERROR(INDEX(モデル一覧!$E:$E,MATCH($D163,モデル一覧!$A:$A,0)),"IDなし"))</f>
        <v/>
      </c>
      <c r="K163" s="24" t="str">
        <f aca="false">IF($D163="","",IFERROR(IF(INDEX(モデル一覧!$L:$L,MATCH($D163,モデル一覧!$A:$A,0))="","",DATE(INDEX(モデル一覧!$K:$K,MATCH($D163,モデル一覧!$A:$A,0)),INDEX(モデル一覧!$L:$L,MATCH($D163,モデル一覧!$A:$A,0)),1)),""))</f>
        <v/>
      </c>
      <c r="L163" s="25" t="str">
        <f aca="false">IF(OR($F163="",$G163=""),"",(YEAR($F163)-YEAR($G163))*12+MONTH($F163)-MONTH($G163))</f>
        <v/>
      </c>
      <c r="M163" s="25" t="str">
        <f aca="false">IF(OR($F163="",$K163=""),"",(YEAR($F163)-YEAR($K163))*12+MONTH($F163)-MONTH($K163))</f>
        <v/>
      </c>
      <c r="N163" s="23" t="str">
        <f aca="false">IF($L163="","",IF(ABS($L163)&lt;=3,"整合",IF($L163&gt;3,"S&amp;P先行：SOP・生産国・世代を確認","ML先行：旧世代込み・先行登録を確認")))</f>
        <v/>
      </c>
      <c r="O163" s="22"/>
      <c r="P163" s="19"/>
    </row>
    <row r="164" customFormat="false" ht="15" hidden="false" customHeight="false" outlineLevel="0" collapsed="false">
      <c r="A164" s="19"/>
      <c r="B164" s="19"/>
      <c r="C164" s="19"/>
      <c r="D164" s="20"/>
      <c r="E164" s="21"/>
      <c r="F164" s="22"/>
      <c r="G164" s="22"/>
      <c r="H164" s="21"/>
      <c r="I164" s="23" t="str">
        <f aca="false">IF($D164="","",IFERROR(INDEX(モデル一覧!$D:$D,MATCH($D164,モデル一覧!$A:$A,0)),"IDなし"))</f>
        <v/>
      </c>
      <c r="J164" s="23" t="str">
        <f aca="false">IF($D164="","",IFERROR(INDEX(モデル一覧!$E:$E,MATCH($D164,モデル一覧!$A:$A,0)),"IDなし"))</f>
        <v/>
      </c>
      <c r="K164" s="24" t="str">
        <f aca="false">IF($D164="","",IFERROR(IF(INDEX(モデル一覧!$L:$L,MATCH($D164,モデル一覧!$A:$A,0))="","",DATE(INDEX(モデル一覧!$K:$K,MATCH($D164,モデル一覧!$A:$A,0)),INDEX(モデル一覧!$L:$L,MATCH($D164,モデル一覧!$A:$A,0)),1)),""))</f>
        <v/>
      </c>
      <c r="L164" s="25" t="str">
        <f aca="false">IF(OR($F164="",$G164=""),"",(YEAR($F164)-YEAR($G164))*12+MONTH($F164)-MONTH($G164))</f>
        <v/>
      </c>
      <c r="M164" s="25" t="str">
        <f aca="false">IF(OR($F164="",$K164=""),"",(YEAR($F164)-YEAR($K164))*12+MONTH($F164)-MONTH($K164))</f>
        <v/>
      </c>
      <c r="N164" s="23" t="str">
        <f aca="false">IF($L164="","",IF(ABS($L164)&lt;=3,"整合",IF($L164&gt;3,"S&amp;P先行：SOP・生産国・世代を確認","ML先行：旧世代込み・先行登録を確認")))</f>
        <v/>
      </c>
      <c r="O164" s="22"/>
      <c r="P164" s="19"/>
    </row>
    <row r="165" customFormat="false" ht="15" hidden="false" customHeight="false" outlineLevel="0" collapsed="false">
      <c r="A165" s="19"/>
      <c r="B165" s="19"/>
      <c r="C165" s="19"/>
      <c r="D165" s="20"/>
      <c r="E165" s="21"/>
      <c r="F165" s="22"/>
      <c r="G165" s="22"/>
      <c r="H165" s="21"/>
      <c r="I165" s="23" t="str">
        <f aca="false">IF($D165="","",IFERROR(INDEX(モデル一覧!$D:$D,MATCH($D165,モデル一覧!$A:$A,0)),"IDなし"))</f>
        <v/>
      </c>
      <c r="J165" s="23" t="str">
        <f aca="false">IF($D165="","",IFERROR(INDEX(モデル一覧!$E:$E,MATCH($D165,モデル一覧!$A:$A,0)),"IDなし"))</f>
        <v/>
      </c>
      <c r="K165" s="24" t="str">
        <f aca="false">IF($D165="","",IFERROR(IF(INDEX(モデル一覧!$L:$L,MATCH($D165,モデル一覧!$A:$A,0))="","",DATE(INDEX(モデル一覧!$K:$K,MATCH($D165,モデル一覧!$A:$A,0)),INDEX(モデル一覧!$L:$L,MATCH($D165,モデル一覧!$A:$A,0)),1)),""))</f>
        <v/>
      </c>
      <c r="L165" s="25" t="str">
        <f aca="false">IF(OR($F165="",$G165=""),"",(YEAR($F165)-YEAR($G165))*12+MONTH($F165)-MONTH($G165))</f>
        <v/>
      </c>
      <c r="M165" s="25" t="str">
        <f aca="false">IF(OR($F165="",$K165=""),"",(YEAR($F165)-YEAR($K165))*12+MONTH($F165)-MONTH($K165))</f>
        <v/>
      </c>
      <c r="N165" s="23" t="str">
        <f aca="false">IF($L165="","",IF(ABS($L165)&lt;=3,"整合",IF($L165&gt;3,"S&amp;P先行：SOP・生産国・世代を確認","ML先行：旧世代込み・先行登録を確認")))</f>
        <v/>
      </c>
      <c r="O165" s="22"/>
      <c r="P165" s="19"/>
    </row>
    <row r="166" customFormat="false" ht="15" hidden="false" customHeight="false" outlineLevel="0" collapsed="false">
      <c r="A166" s="19"/>
      <c r="B166" s="19"/>
      <c r="C166" s="19"/>
      <c r="D166" s="20"/>
      <c r="E166" s="21"/>
      <c r="F166" s="22"/>
      <c r="G166" s="22"/>
      <c r="H166" s="21"/>
      <c r="I166" s="23" t="str">
        <f aca="false">IF($D166="","",IFERROR(INDEX(モデル一覧!$D:$D,MATCH($D166,モデル一覧!$A:$A,0)),"IDなし"))</f>
        <v/>
      </c>
      <c r="J166" s="23" t="str">
        <f aca="false">IF($D166="","",IFERROR(INDEX(モデル一覧!$E:$E,MATCH($D166,モデル一覧!$A:$A,0)),"IDなし"))</f>
        <v/>
      </c>
      <c r="K166" s="24" t="str">
        <f aca="false">IF($D166="","",IFERROR(IF(INDEX(モデル一覧!$L:$L,MATCH($D166,モデル一覧!$A:$A,0))="","",DATE(INDEX(モデル一覧!$K:$K,MATCH($D166,モデル一覧!$A:$A,0)),INDEX(モデル一覧!$L:$L,MATCH($D166,モデル一覧!$A:$A,0)),1)),""))</f>
        <v/>
      </c>
      <c r="L166" s="25" t="str">
        <f aca="false">IF(OR($F166="",$G166=""),"",(YEAR($F166)-YEAR($G166))*12+MONTH($F166)-MONTH($G166))</f>
        <v/>
      </c>
      <c r="M166" s="25" t="str">
        <f aca="false">IF(OR($F166="",$K166=""),"",(YEAR($F166)-YEAR($K166))*12+MONTH($F166)-MONTH($K166))</f>
        <v/>
      </c>
      <c r="N166" s="23" t="str">
        <f aca="false">IF($L166="","",IF(ABS($L166)&lt;=3,"整合",IF($L166&gt;3,"S&amp;P先行：SOP・生産国・世代を確認","ML先行：旧世代込み・先行登録を確認")))</f>
        <v/>
      </c>
      <c r="O166" s="22"/>
      <c r="P166" s="19"/>
    </row>
    <row r="167" customFormat="false" ht="15" hidden="false" customHeight="false" outlineLevel="0" collapsed="false">
      <c r="A167" s="19"/>
      <c r="B167" s="19"/>
      <c r="C167" s="19"/>
      <c r="D167" s="20"/>
      <c r="E167" s="21"/>
      <c r="F167" s="22"/>
      <c r="G167" s="22"/>
      <c r="H167" s="21"/>
      <c r="I167" s="23" t="str">
        <f aca="false">IF($D167="","",IFERROR(INDEX(モデル一覧!$D:$D,MATCH($D167,モデル一覧!$A:$A,0)),"IDなし"))</f>
        <v/>
      </c>
      <c r="J167" s="23" t="str">
        <f aca="false">IF($D167="","",IFERROR(INDEX(モデル一覧!$E:$E,MATCH($D167,モデル一覧!$A:$A,0)),"IDなし"))</f>
        <v/>
      </c>
      <c r="K167" s="24" t="str">
        <f aca="false">IF($D167="","",IFERROR(IF(INDEX(モデル一覧!$L:$L,MATCH($D167,モデル一覧!$A:$A,0))="","",DATE(INDEX(モデル一覧!$K:$K,MATCH($D167,モデル一覧!$A:$A,0)),INDEX(モデル一覧!$L:$L,MATCH($D167,モデル一覧!$A:$A,0)),1)),""))</f>
        <v/>
      </c>
      <c r="L167" s="25" t="str">
        <f aca="false">IF(OR($F167="",$G167=""),"",(YEAR($F167)-YEAR($G167))*12+MONTH($F167)-MONTH($G167))</f>
        <v/>
      </c>
      <c r="M167" s="25" t="str">
        <f aca="false">IF(OR($F167="",$K167=""),"",(YEAR($F167)-YEAR($K167))*12+MONTH($F167)-MONTH($K167))</f>
        <v/>
      </c>
      <c r="N167" s="23" t="str">
        <f aca="false">IF($L167="","",IF(ABS($L167)&lt;=3,"整合",IF($L167&gt;3,"S&amp;P先行：SOP・生産国・世代を確認","ML先行：旧世代込み・先行登録を確認")))</f>
        <v/>
      </c>
      <c r="O167" s="22"/>
      <c r="P167" s="19"/>
    </row>
    <row r="168" customFormat="false" ht="15" hidden="false" customHeight="false" outlineLevel="0" collapsed="false">
      <c r="A168" s="19"/>
      <c r="B168" s="19"/>
      <c r="C168" s="19"/>
      <c r="D168" s="20"/>
      <c r="E168" s="21"/>
      <c r="F168" s="22"/>
      <c r="G168" s="22"/>
      <c r="H168" s="21"/>
      <c r="I168" s="23" t="str">
        <f aca="false">IF($D168="","",IFERROR(INDEX(モデル一覧!$D:$D,MATCH($D168,モデル一覧!$A:$A,0)),"IDなし"))</f>
        <v/>
      </c>
      <c r="J168" s="23" t="str">
        <f aca="false">IF($D168="","",IFERROR(INDEX(モデル一覧!$E:$E,MATCH($D168,モデル一覧!$A:$A,0)),"IDなし"))</f>
        <v/>
      </c>
      <c r="K168" s="24" t="str">
        <f aca="false">IF($D168="","",IFERROR(IF(INDEX(モデル一覧!$L:$L,MATCH($D168,モデル一覧!$A:$A,0))="","",DATE(INDEX(モデル一覧!$K:$K,MATCH($D168,モデル一覧!$A:$A,0)),INDEX(モデル一覧!$L:$L,MATCH($D168,モデル一覧!$A:$A,0)),1)),""))</f>
        <v/>
      </c>
      <c r="L168" s="25" t="str">
        <f aca="false">IF(OR($F168="",$G168=""),"",(YEAR($F168)-YEAR($G168))*12+MONTH($F168)-MONTH($G168))</f>
        <v/>
      </c>
      <c r="M168" s="25" t="str">
        <f aca="false">IF(OR($F168="",$K168=""),"",(YEAR($F168)-YEAR($K168))*12+MONTH($F168)-MONTH($K168))</f>
        <v/>
      </c>
      <c r="N168" s="23" t="str">
        <f aca="false">IF($L168="","",IF(ABS($L168)&lt;=3,"整合",IF($L168&gt;3,"S&amp;P先行：SOP・生産国・世代を確認","ML先行：旧世代込み・先行登録を確認")))</f>
        <v/>
      </c>
      <c r="O168" s="22"/>
      <c r="P168" s="19"/>
    </row>
    <row r="169" customFormat="false" ht="15" hidden="false" customHeight="false" outlineLevel="0" collapsed="false">
      <c r="A169" s="19"/>
      <c r="B169" s="19"/>
      <c r="C169" s="19"/>
      <c r="D169" s="20"/>
      <c r="E169" s="21"/>
      <c r="F169" s="22"/>
      <c r="G169" s="22"/>
      <c r="H169" s="21"/>
      <c r="I169" s="23" t="str">
        <f aca="false">IF($D169="","",IFERROR(INDEX(モデル一覧!$D:$D,MATCH($D169,モデル一覧!$A:$A,0)),"IDなし"))</f>
        <v/>
      </c>
      <c r="J169" s="23" t="str">
        <f aca="false">IF($D169="","",IFERROR(INDEX(モデル一覧!$E:$E,MATCH($D169,モデル一覧!$A:$A,0)),"IDなし"))</f>
        <v/>
      </c>
      <c r="K169" s="24" t="str">
        <f aca="false">IF($D169="","",IFERROR(IF(INDEX(モデル一覧!$L:$L,MATCH($D169,モデル一覧!$A:$A,0))="","",DATE(INDEX(モデル一覧!$K:$K,MATCH($D169,モデル一覧!$A:$A,0)),INDEX(モデル一覧!$L:$L,MATCH($D169,モデル一覧!$A:$A,0)),1)),""))</f>
        <v/>
      </c>
      <c r="L169" s="25" t="str">
        <f aca="false">IF(OR($F169="",$G169=""),"",(YEAR($F169)-YEAR($G169))*12+MONTH($F169)-MONTH($G169))</f>
        <v/>
      </c>
      <c r="M169" s="25" t="str">
        <f aca="false">IF(OR($F169="",$K169=""),"",(YEAR($F169)-YEAR($K169))*12+MONTH($F169)-MONTH($K169))</f>
        <v/>
      </c>
      <c r="N169" s="23" t="str">
        <f aca="false">IF($L169="","",IF(ABS($L169)&lt;=3,"整合",IF($L169&gt;3,"S&amp;P先行：SOP・生産国・世代を確認","ML先行：旧世代込み・先行登録を確認")))</f>
        <v/>
      </c>
      <c r="O169" s="22"/>
      <c r="P169" s="19"/>
    </row>
    <row r="170" customFormat="false" ht="15" hidden="false" customHeight="false" outlineLevel="0" collapsed="false">
      <c r="A170" s="19"/>
      <c r="B170" s="19"/>
      <c r="C170" s="19"/>
      <c r="D170" s="20"/>
      <c r="E170" s="21"/>
      <c r="F170" s="22"/>
      <c r="G170" s="22"/>
      <c r="H170" s="21"/>
      <c r="I170" s="23" t="str">
        <f aca="false">IF($D170="","",IFERROR(INDEX(モデル一覧!$D:$D,MATCH($D170,モデル一覧!$A:$A,0)),"IDなし"))</f>
        <v/>
      </c>
      <c r="J170" s="23" t="str">
        <f aca="false">IF($D170="","",IFERROR(INDEX(モデル一覧!$E:$E,MATCH($D170,モデル一覧!$A:$A,0)),"IDなし"))</f>
        <v/>
      </c>
      <c r="K170" s="24" t="str">
        <f aca="false">IF($D170="","",IFERROR(IF(INDEX(モデル一覧!$L:$L,MATCH($D170,モデル一覧!$A:$A,0))="","",DATE(INDEX(モデル一覧!$K:$K,MATCH($D170,モデル一覧!$A:$A,0)),INDEX(モデル一覧!$L:$L,MATCH($D170,モデル一覧!$A:$A,0)),1)),""))</f>
        <v/>
      </c>
      <c r="L170" s="25" t="str">
        <f aca="false">IF(OR($F170="",$G170=""),"",(YEAR($F170)-YEAR($G170))*12+MONTH($F170)-MONTH($G170))</f>
        <v/>
      </c>
      <c r="M170" s="25" t="str">
        <f aca="false">IF(OR($F170="",$K170=""),"",(YEAR($F170)-YEAR($K170))*12+MONTH($F170)-MONTH($K170))</f>
        <v/>
      </c>
      <c r="N170" s="23" t="str">
        <f aca="false">IF($L170="","",IF(ABS($L170)&lt;=3,"整合",IF($L170&gt;3,"S&amp;P先行：SOP・生産国・世代を確認","ML先行：旧世代込み・先行登録を確認")))</f>
        <v/>
      </c>
      <c r="O170" s="22"/>
      <c r="P170" s="19"/>
    </row>
    <row r="171" customFormat="false" ht="15" hidden="false" customHeight="false" outlineLevel="0" collapsed="false">
      <c r="A171" s="19"/>
      <c r="B171" s="19"/>
      <c r="C171" s="19"/>
      <c r="D171" s="20"/>
      <c r="E171" s="21"/>
      <c r="F171" s="22"/>
      <c r="G171" s="22"/>
      <c r="H171" s="21"/>
      <c r="I171" s="23" t="str">
        <f aca="false">IF($D171="","",IFERROR(INDEX(モデル一覧!$D:$D,MATCH($D171,モデル一覧!$A:$A,0)),"IDなし"))</f>
        <v/>
      </c>
      <c r="J171" s="23" t="str">
        <f aca="false">IF($D171="","",IFERROR(INDEX(モデル一覧!$E:$E,MATCH($D171,モデル一覧!$A:$A,0)),"IDなし"))</f>
        <v/>
      </c>
      <c r="K171" s="24" t="str">
        <f aca="false">IF($D171="","",IFERROR(IF(INDEX(モデル一覧!$L:$L,MATCH($D171,モデル一覧!$A:$A,0))="","",DATE(INDEX(モデル一覧!$K:$K,MATCH($D171,モデル一覧!$A:$A,0)),INDEX(モデル一覧!$L:$L,MATCH($D171,モデル一覧!$A:$A,0)),1)),""))</f>
        <v/>
      </c>
      <c r="L171" s="25" t="str">
        <f aca="false">IF(OR($F171="",$G171=""),"",(YEAR($F171)-YEAR($G171))*12+MONTH($F171)-MONTH($G171))</f>
        <v/>
      </c>
      <c r="M171" s="25" t="str">
        <f aca="false">IF(OR($F171="",$K171=""),"",(YEAR($F171)-YEAR($K171))*12+MONTH($F171)-MONTH($K171))</f>
        <v/>
      </c>
      <c r="N171" s="23" t="str">
        <f aca="false">IF($L171="","",IF(ABS($L171)&lt;=3,"整合",IF($L171&gt;3,"S&amp;P先行：SOP・生産国・世代を確認","ML先行：旧世代込み・先行登録を確認")))</f>
        <v/>
      </c>
      <c r="O171" s="22"/>
      <c r="P171" s="19"/>
    </row>
    <row r="172" customFormat="false" ht="15" hidden="false" customHeight="false" outlineLevel="0" collapsed="false">
      <c r="A172" s="19"/>
      <c r="B172" s="19"/>
      <c r="C172" s="19"/>
      <c r="D172" s="20"/>
      <c r="E172" s="21"/>
      <c r="F172" s="22"/>
      <c r="G172" s="22"/>
      <c r="H172" s="21"/>
      <c r="I172" s="23" t="str">
        <f aca="false">IF($D172="","",IFERROR(INDEX(モデル一覧!$D:$D,MATCH($D172,モデル一覧!$A:$A,0)),"IDなし"))</f>
        <v/>
      </c>
      <c r="J172" s="23" t="str">
        <f aca="false">IF($D172="","",IFERROR(INDEX(モデル一覧!$E:$E,MATCH($D172,モデル一覧!$A:$A,0)),"IDなし"))</f>
        <v/>
      </c>
      <c r="K172" s="24" t="str">
        <f aca="false">IF($D172="","",IFERROR(IF(INDEX(モデル一覧!$L:$L,MATCH($D172,モデル一覧!$A:$A,0))="","",DATE(INDEX(モデル一覧!$K:$K,MATCH($D172,モデル一覧!$A:$A,0)),INDEX(モデル一覧!$L:$L,MATCH($D172,モデル一覧!$A:$A,0)),1)),""))</f>
        <v/>
      </c>
      <c r="L172" s="25" t="str">
        <f aca="false">IF(OR($F172="",$G172=""),"",(YEAR($F172)-YEAR($G172))*12+MONTH($F172)-MONTH($G172))</f>
        <v/>
      </c>
      <c r="M172" s="25" t="str">
        <f aca="false">IF(OR($F172="",$K172=""),"",(YEAR($F172)-YEAR($K172))*12+MONTH($F172)-MONTH($K172))</f>
        <v/>
      </c>
      <c r="N172" s="23" t="str">
        <f aca="false">IF($L172="","",IF(ABS($L172)&lt;=3,"整合",IF($L172&gt;3,"S&amp;P先行：SOP・生産国・世代を確認","ML先行：旧世代込み・先行登録を確認")))</f>
        <v/>
      </c>
      <c r="O172" s="22"/>
      <c r="P172" s="19"/>
    </row>
    <row r="173" customFormat="false" ht="15" hidden="false" customHeight="false" outlineLevel="0" collapsed="false">
      <c r="A173" s="19"/>
      <c r="B173" s="19"/>
      <c r="C173" s="19"/>
      <c r="D173" s="20"/>
      <c r="E173" s="21"/>
      <c r="F173" s="22"/>
      <c r="G173" s="22"/>
      <c r="H173" s="21"/>
      <c r="I173" s="23" t="str">
        <f aca="false">IF($D173="","",IFERROR(INDEX(モデル一覧!$D:$D,MATCH($D173,モデル一覧!$A:$A,0)),"IDなし"))</f>
        <v/>
      </c>
      <c r="J173" s="23" t="str">
        <f aca="false">IF($D173="","",IFERROR(INDEX(モデル一覧!$E:$E,MATCH($D173,モデル一覧!$A:$A,0)),"IDなし"))</f>
        <v/>
      </c>
      <c r="K173" s="24" t="str">
        <f aca="false">IF($D173="","",IFERROR(IF(INDEX(モデル一覧!$L:$L,MATCH($D173,モデル一覧!$A:$A,0))="","",DATE(INDEX(モデル一覧!$K:$K,MATCH($D173,モデル一覧!$A:$A,0)),INDEX(モデル一覧!$L:$L,MATCH($D173,モデル一覧!$A:$A,0)),1)),""))</f>
        <v/>
      </c>
      <c r="L173" s="25" t="str">
        <f aca="false">IF(OR($F173="",$G173=""),"",(YEAR($F173)-YEAR($G173))*12+MONTH($F173)-MONTH($G173))</f>
        <v/>
      </c>
      <c r="M173" s="25" t="str">
        <f aca="false">IF(OR($F173="",$K173=""),"",(YEAR($F173)-YEAR($K173))*12+MONTH($F173)-MONTH($K173))</f>
        <v/>
      </c>
      <c r="N173" s="23" t="str">
        <f aca="false">IF($L173="","",IF(ABS($L173)&lt;=3,"整合",IF($L173&gt;3,"S&amp;P先行：SOP・生産国・世代を確認","ML先行：旧世代込み・先行登録を確認")))</f>
        <v/>
      </c>
      <c r="O173" s="22"/>
      <c r="P173" s="19"/>
    </row>
    <row r="174" customFormat="false" ht="15" hidden="false" customHeight="false" outlineLevel="0" collapsed="false">
      <c r="A174" s="19"/>
      <c r="B174" s="19"/>
      <c r="C174" s="19"/>
      <c r="D174" s="20"/>
      <c r="E174" s="21"/>
      <c r="F174" s="22"/>
      <c r="G174" s="22"/>
      <c r="H174" s="21"/>
      <c r="I174" s="23" t="str">
        <f aca="false">IF($D174="","",IFERROR(INDEX(モデル一覧!$D:$D,MATCH($D174,モデル一覧!$A:$A,0)),"IDなし"))</f>
        <v/>
      </c>
      <c r="J174" s="23" t="str">
        <f aca="false">IF($D174="","",IFERROR(INDEX(モデル一覧!$E:$E,MATCH($D174,モデル一覧!$A:$A,0)),"IDなし"))</f>
        <v/>
      </c>
      <c r="K174" s="24" t="str">
        <f aca="false">IF($D174="","",IFERROR(IF(INDEX(モデル一覧!$L:$L,MATCH($D174,モデル一覧!$A:$A,0))="","",DATE(INDEX(モデル一覧!$K:$K,MATCH($D174,モデル一覧!$A:$A,0)),INDEX(モデル一覧!$L:$L,MATCH($D174,モデル一覧!$A:$A,0)),1)),""))</f>
        <v/>
      </c>
      <c r="L174" s="25" t="str">
        <f aca="false">IF(OR($F174="",$G174=""),"",(YEAR($F174)-YEAR($G174))*12+MONTH($F174)-MONTH($G174))</f>
        <v/>
      </c>
      <c r="M174" s="25" t="str">
        <f aca="false">IF(OR($F174="",$K174=""),"",(YEAR($F174)-YEAR($K174))*12+MONTH($F174)-MONTH($K174))</f>
        <v/>
      </c>
      <c r="N174" s="23" t="str">
        <f aca="false">IF($L174="","",IF(ABS($L174)&lt;=3,"整合",IF($L174&gt;3,"S&amp;P先行：SOP・生産国・世代を確認","ML先行：旧世代込み・先行登録を確認")))</f>
        <v/>
      </c>
      <c r="O174" s="22"/>
      <c r="P174" s="19"/>
    </row>
    <row r="175" customFormat="false" ht="15" hidden="false" customHeight="false" outlineLevel="0" collapsed="false">
      <c r="A175" s="19"/>
      <c r="B175" s="19"/>
      <c r="C175" s="19"/>
      <c r="D175" s="20"/>
      <c r="E175" s="21"/>
      <c r="F175" s="22"/>
      <c r="G175" s="22"/>
      <c r="H175" s="21"/>
      <c r="I175" s="23" t="str">
        <f aca="false">IF($D175="","",IFERROR(INDEX(モデル一覧!$D:$D,MATCH($D175,モデル一覧!$A:$A,0)),"IDなし"))</f>
        <v/>
      </c>
      <c r="J175" s="23" t="str">
        <f aca="false">IF($D175="","",IFERROR(INDEX(モデル一覧!$E:$E,MATCH($D175,モデル一覧!$A:$A,0)),"IDなし"))</f>
        <v/>
      </c>
      <c r="K175" s="24" t="str">
        <f aca="false">IF($D175="","",IFERROR(IF(INDEX(モデル一覧!$L:$L,MATCH($D175,モデル一覧!$A:$A,0))="","",DATE(INDEX(モデル一覧!$K:$K,MATCH($D175,モデル一覧!$A:$A,0)),INDEX(モデル一覧!$L:$L,MATCH($D175,モデル一覧!$A:$A,0)),1)),""))</f>
        <v/>
      </c>
      <c r="L175" s="25" t="str">
        <f aca="false">IF(OR($F175="",$G175=""),"",(YEAR($F175)-YEAR($G175))*12+MONTH($F175)-MONTH($G175))</f>
        <v/>
      </c>
      <c r="M175" s="25" t="str">
        <f aca="false">IF(OR($F175="",$K175=""),"",(YEAR($F175)-YEAR($K175))*12+MONTH($F175)-MONTH($K175))</f>
        <v/>
      </c>
      <c r="N175" s="23" t="str">
        <f aca="false">IF($L175="","",IF(ABS($L175)&lt;=3,"整合",IF($L175&gt;3,"S&amp;P先行：SOP・生産国・世代を確認","ML先行：旧世代込み・先行登録を確認")))</f>
        <v/>
      </c>
      <c r="O175" s="22"/>
      <c r="P175" s="19"/>
    </row>
    <row r="176" customFormat="false" ht="15" hidden="false" customHeight="false" outlineLevel="0" collapsed="false">
      <c r="A176" s="19"/>
      <c r="B176" s="19"/>
      <c r="C176" s="19"/>
      <c r="D176" s="20"/>
      <c r="E176" s="21"/>
      <c r="F176" s="22"/>
      <c r="G176" s="22"/>
      <c r="H176" s="21"/>
      <c r="I176" s="23" t="str">
        <f aca="false">IF($D176="","",IFERROR(INDEX(モデル一覧!$D:$D,MATCH($D176,モデル一覧!$A:$A,0)),"IDなし"))</f>
        <v/>
      </c>
      <c r="J176" s="23" t="str">
        <f aca="false">IF($D176="","",IFERROR(INDEX(モデル一覧!$E:$E,MATCH($D176,モデル一覧!$A:$A,0)),"IDなし"))</f>
        <v/>
      </c>
      <c r="K176" s="24" t="str">
        <f aca="false">IF($D176="","",IFERROR(IF(INDEX(モデル一覧!$L:$L,MATCH($D176,モデル一覧!$A:$A,0))="","",DATE(INDEX(モデル一覧!$K:$K,MATCH($D176,モデル一覧!$A:$A,0)),INDEX(モデル一覧!$L:$L,MATCH($D176,モデル一覧!$A:$A,0)),1)),""))</f>
        <v/>
      </c>
      <c r="L176" s="25" t="str">
        <f aca="false">IF(OR($F176="",$G176=""),"",(YEAR($F176)-YEAR($G176))*12+MONTH($F176)-MONTH($G176))</f>
        <v/>
      </c>
      <c r="M176" s="25" t="str">
        <f aca="false">IF(OR($F176="",$K176=""),"",(YEAR($F176)-YEAR($K176))*12+MONTH($F176)-MONTH($K176))</f>
        <v/>
      </c>
      <c r="N176" s="23" t="str">
        <f aca="false">IF($L176="","",IF(ABS($L176)&lt;=3,"整合",IF($L176&gt;3,"S&amp;P先行：SOP・生産国・世代を確認","ML先行：旧世代込み・先行登録を確認")))</f>
        <v/>
      </c>
      <c r="O176" s="22"/>
      <c r="P176" s="19"/>
    </row>
    <row r="177" customFormat="false" ht="15" hidden="false" customHeight="false" outlineLevel="0" collapsed="false">
      <c r="A177" s="19"/>
      <c r="B177" s="19"/>
      <c r="C177" s="19"/>
      <c r="D177" s="20"/>
      <c r="E177" s="21"/>
      <c r="F177" s="22"/>
      <c r="G177" s="22"/>
      <c r="H177" s="21"/>
      <c r="I177" s="23" t="str">
        <f aca="false">IF($D177="","",IFERROR(INDEX(モデル一覧!$D:$D,MATCH($D177,モデル一覧!$A:$A,0)),"IDなし"))</f>
        <v/>
      </c>
      <c r="J177" s="23" t="str">
        <f aca="false">IF($D177="","",IFERROR(INDEX(モデル一覧!$E:$E,MATCH($D177,モデル一覧!$A:$A,0)),"IDなし"))</f>
        <v/>
      </c>
      <c r="K177" s="24" t="str">
        <f aca="false">IF($D177="","",IFERROR(IF(INDEX(モデル一覧!$L:$L,MATCH($D177,モデル一覧!$A:$A,0))="","",DATE(INDEX(モデル一覧!$K:$K,MATCH($D177,モデル一覧!$A:$A,0)),INDEX(モデル一覧!$L:$L,MATCH($D177,モデル一覧!$A:$A,0)),1)),""))</f>
        <v/>
      </c>
      <c r="L177" s="25" t="str">
        <f aca="false">IF(OR($F177="",$G177=""),"",(YEAR($F177)-YEAR($G177))*12+MONTH($F177)-MONTH($G177))</f>
        <v/>
      </c>
      <c r="M177" s="25" t="str">
        <f aca="false">IF(OR($F177="",$K177=""),"",(YEAR($F177)-YEAR($K177))*12+MONTH($F177)-MONTH($K177))</f>
        <v/>
      </c>
      <c r="N177" s="23" t="str">
        <f aca="false">IF($L177="","",IF(ABS($L177)&lt;=3,"整合",IF($L177&gt;3,"S&amp;P先行：SOP・生産国・世代を確認","ML先行：旧世代込み・先行登録を確認")))</f>
        <v/>
      </c>
      <c r="O177" s="22"/>
      <c r="P177" s="19"/>
    </row>
    <row r="178" customFormat="false" ht="15" hidden="false" customHeight="false" outlineLevel="0" collapsed="false">
      <c r="A178" s="19"/>
      <c r="B178" s="19"/>
      <c r="C178" s="19"/>
      <c r="D178" s="20"/>
      <c r="E178" s="21"/>
      <c r="F178" s="22"/>
      <c r="G178" s="22"/>
      <c r="H178" s="21"/>
      <c r="I178" s="23" t="str">
        <f aca="false">IF($D178="","",IFERROR(INDEX(モデル一覧!$D:$D,MATCH($D178,モデル一覧!$A:$A,0)),"IDなし"))</f>
        <v/>
      </c>
      <c r="J178" s="23" t="str">
        <f aca="false">IF($D178="","",IFERROR(INDEX(モデル一覧!$E:$E,MATCH($D178,モデル一覧!$A:$A,0)),"IDなし"))</f>
        <v/>
      </c>
      <c r="K178" s="24" t="str">
        <f aca="false">IF($D178="","",IFERROR(IF(INDEX(モデル一覧!$L:$L,MATCH($D178,モデル一覧!$A:$A,0))="","",DATE(INDEX(モデル一覧!$K:$K,MATCH($D178,モデル一覧!$A:$A,0)),INDEX(モデル一覧!$L:$L,MATCH($D178,モデル一覧!$A:$A,0)),1)),""))</f>
        <v/>
      </c>
      <c r="L178" s="25" t="str">
        <f aca="false">IF(OR($F178="",$G178=""),"",(YEAR($F178)-YEAR($G178))*12+MONTH($F178)-MONTH($G178))</f>
        <v/>
      </c>
      <c r="M178" s="25" t="str">
        <f aca="false">IF(OR($F178="",$K178=""),"",(YEAR($F178)-YEAR($K178))*12+MONTH($F178)-MONTH($K178))</f>
        <v/>
      </c>
      <c r="N178" s="23" t="str">
        <f aca="false">IF($L178="","",IF(ABS($L178)&lt;=3,"整合",IF($L178&gt;3,"S&amp;P先行：SOP・生産国・世代を確認","ML先行：旧世代込み・先行登録を確認")))</f>
        <v/>
      </c>
      <c r="O178" s="22"/>
      <c r="P178" s="19"/>
    </row>
    <row r="179" customFormat="false" ht="15" hidden="false" customHeight="false" outlineLevel="0" collapsed="false">
      <c r="A179" s="19"/>
      <c r="B179" s="19"/>
      <c r="C179" s="19"/>
      <c r="D179" s="20"/>
      <c r="E179" s="21"/>
      <c r="F179" s="22"/>
      <c r="G179" s="22"/>
      <c r="H179" s="21"/>
      <c r="I179" s="23" t="str">
        <f aca="false">IF($D179="","",IFERROR(INDEX(モデル一覧!$D:$D,MATCH($D179,モデル一覧!$A:$A,0)),"IDなし"))</f>
        <v/>
      </c>
      <c r="J179" s="23" t="str">
        <f aca="false">IF($D179="","",IFERROR(INDEX(モデル一覧!$E:$E,MATCH($D179,モデル一覧!$A:$A,0)),"IDなし"))</f>
        <v/>
      </c>
      <c r="K179" s="24" t="str">
        <f aca="false">IF($D179="","",IFERROR(IF(INDEX(モデル一覧!$L:$L,MATCH($D179,モデル一覧!$A:$A,0))="","",DATE(INDEX(モデル一覧!$K:$K,MATCH($D179,モデル一覧!$A:$A,0)),INDEX(モデル一覧!$L:$L,MATCH($D179,モデル一覧!$A:$A,0)),1)),""))</f>
        <v/>
      </c>
      <c r="L179" s="25" t="str">
        <f aca="false">IF(OR($F179="",$G179=""),"",(YEAR($F179)-YEAR($G179))*12+MONTH($F179)-MONTH($G179))</f>
        <v/>
      </c>
      <c r="M179" s="25" t="str">
        <f aca="false">IF(OR($F179="",$K179=""),"",(YEAR($F179)-YEAR($K179))*12+MONTH($F179)-MONTH($K179))</f>
        <v/>
      </c>
      <c r="N179" s="23" t="str">
        <f aca="false">IF($L179="","",IF(ABS($L179)&lt;=3,"整合",IF($L179&gt;3,"S&amp;P先行：SOP・生産国・世代を確認","ML先行：旧世代込み・先行登録を確認")))</f>
        <v/>
      </c>
      <c r="O179" s="22"/>
      <c r="P179" s="19"/>
    </row>
    <row r="180" customFormat="false" ht="15" hidden="false" customHeight="false" outlineLevel="0" collapsed="false">
      <c r="A180" s="19"/>
      <c r="B180" s="19"/>
      <c r="C180" s="19"/>
      <c r="D180" s="20"/>
      <c r="E180" s="21"/>
      <c r="F180" s="22"/>
      <c r="G180" s="22"/>
      <c r="H180" s="21"/>
      <c r="I180" s="23" t="str">
        <f aca="false">IF($D180="","",IFERROR(INDEX(モデル一覧!$D:$D,MATCH($D180,モデル一覧!$A:$A,0)),"IDなし"))</f>
        <v/>
      </c>
      <c r="J180" s="23" t="str">
        <f aca="false">IF($D180="","",IFERROR(INDEX(モデル一覧!$E:$E,MATCH($D180,モデル一覧!$A:$A,0)),"IDなし"))</f>
        <v/>
      </c>
      <c r="K180" s="24" t="str">
        <f aca="false">IF($D180="","",IFERROR(IF(INDEX(モデル一覧!$L:$L,MATCH($D180,モデル一覧!$A:$A,0))="","",DATE(INDEX(モデル一覧!$K:$K,MATCH($D180,モデル一覧!$A:$A,0)),INDEX(モデル一覧!$L:$L,MATCH($D180,モデル一覧!$A:$A,0)),1)),""))</f>
        <v/>
      </c>
      <c r="L180" s="25" t="str">
        <f aca="false">IF(OR($F180="",$G180=""),"",(YEAR($F180)-YEAR($G180))*12+MONTH($F180)-MONTH($G180))</f>
        <v/>
      </c>
      <c r="M180" s="25" t="str">
        <f aca="false">IF(OR($F180="",$K180=""),"",(YEAR($F180)-YEAR($K180))*12+MONTH($F180)-MONTH($K180))</f>
        <v/>
      </c>
      <c r="N180" s="23" t="str">
        <f aca="false">IF($L180="","",IF(ABS($L180)&lt;=3,"整合",IF($L180&gt;3,"S&amp;P先行：SOP・生産国・世代を確認","ML先行：旧世代込み・先行登録を確認")))</f>
        <v/>
      </c>
      <c r="O180" s="22"/>
      <c r="P180" s="19"/>
    </row>
    <row r="181" customFormat="false" ht="15" hidden="false" customHeight="false" outlineLevel="0" collapsed="false">
      <c r="A181" s="19"/>
      <c r="B181" s="19"/>
      <c r="C181" s="19"/>
      <c r="D181" s="20"/>
      <c r="E181" s="21"/>
      <c r="F181" s="22"/>
      <c r="G181" s="22"/>
      <c r="H181" s="21"/>
      <c r="I181" s="23" t="str">
        <f aca="false">IF($D181="","",IFERROR(INDEX(モデル一覧!$D:$D,MATCH($D181,モデル一覧!$A:$A,0)),"IDなし"))</f>
        <v/>
      </c>
      <c r="J181" s="23" t="str">
        <f aca="false">IF($D181="","",IFERROR(INDEX(モデル一覧!$E:$E,MATCH($D181,モデル一覧!$A:$A,0)),"IDなし"))</f>
        <v/>
      </c>
      <c r="K181" s="24" t="str">
        <f aca="false">IF($D181="","",IFERROR(IF(INDEX(モデル一覧!$L:$L,MATCH($D181,モデル一覧!$A:$A,0))="","",DATE(INDEX(モデル一覧!$K:$K,MATCH($D181,モデル一覧!$A:$A,0)),INDEX(モデル一覧!$L:$L,MATCH($D181,モデル一覧!$A:$A,0)),1)),""))</f>
        <v/>
      </c>
      <c r="L181" s="25" t="str">
        <f aca="false">IF(OR($F181="",$G181=""),"",(YEAR($F181)-YEAR($G181))*12+MONTH($F181)-MONTH($G181))</f>
        <v/>
      </c>
      <c r="M181" s="25" t="str">
        <f aca="false">IF(OR($F181="",$K181=""),"",(YEAR($F181)-YEAR($K181))*12+MONTH($F181)-MONTH($K181))</f>
        <v/>
      </c>
      <c r="N181" s="23" t="str">
        <f aca="false">IF($L181="","",IF(ABS($L181)&lt;=3,"整合",IF($L181&gt;3,"S&amp;P先行：SOP・生産国・世代を確認","ML先行：旧世代込み・先行登録を確認")))</f>
        <v/>
      </c>
      <c r="O181" s="22"/>
      <c r="P181" s="19"/>
    </row>
    <row r="182" customFormat="false" ht="15" hidden="false" customHeight="false" outlineLevel="0" collapsed="false">
      <c r="A182" s="19"/>
      <c r="B182" s="19"/>
      <c r="C182" s="19"/>
      <c r="D182" s="20"/>
      <c r="E182" s="21"/>
      <c r="F182" s="22"/>
      <c r="G182" s="22"/>
      <c r="H182" s="21"/>
      <c r="I182" s="23" t="str">
        <f aca="false">IF($D182="","",IFERROR(INDEX(モデル一覧!$D:$D,MATCH($D182,モデル一覧!$A:$A,0)),"IDなし"))</f>
        <v/>
      </c>
      <c r="J182" s="23" t="str">
        <f aca="false">IF($D182="","",IFERROR(INDEX(モデル一覧!$E:$E,MATCH($D182,モデル一覧!$A:$A,0)),"IDなし"))</f>
        <v/>
      </c>
      <c r="K182" s="24" t="str">
        <f aca="false">IF($D182="","",IFERROR(IF(INDEX(モデル一覧!$L:$L,MATCH($D182,モデル一覧!$A:$A,0))="","",DATE(INDEX(モデル一覧!$K:$K,MATCH($D182,モデル一覧!$A:$A,0)),INDEX(モデル一覧!$L:$L,MATCH($D182,モデル一覧!$A:$A,0)),1)),""))</f>
        <v/>
      </c>
      <c r="L182" s="25" t="str">
        <f aca="false">IF(OR($F182="",$G182=""),"",(YEAR($F182)-YEAR($G182))*12+MONTH($F182)-MONTH($G182))</f>
        <v/>
      </c>
      <c r="M182" s="25" t="str">
        <f aca="false">IF(OR($F182="",$K182=""),"",(YEAR($F182)-YEAR($K182))*12+MONTH($F182)-MONTH($K182))</f>
        <v/>
      </c>
      <c r="N182" s="23" t="str">
        <f aca="false">IF($L182="","",IF(ABS($L182)&lt;=3,"整合",IF($L182&gt;3,"S&amp;P先行：SOP・生産国・世代を確認","ML先行：旧世代込み・先行登録を確認")))</f>
        <v/>
      </c>
      <c r="O182" s="22"/>
      <c r="P182" s="19"/>
    </row>
    <row r="183" customFormat="false" ht="15" hidden="false" customHeight="false" outlineLevel="0" collapsed="false">
      <c r="A183" s="19"/>
      <c r="B183" s="19"/>
      <c r="C183" s="19"/>
      <c r="D183" s="20"/>
      <c r="E183" s="21"/>
      <c r="F183" s="22"/>
      <c r="G183" s="22"/>
      <c r="H183" s="21"/>
      <c r="I183" s="23" t="str">
        <f aca="false">IF($D183="","",IFERROR(INDEX(モデル一覧!$D:$D,MATCH($D183,モデル一覧!$A:$A,0)),"IDなし"))</f>
        <v/>
      </c>
      <c r="J183" s="23" t="str">
        <f aca="false">IF($D183="","",IFERROR(INDEX(モデル一覧!$E:$E,MATCH($D183,モデル一覧!$A:$A,0)),"IDなし"))</f>
        <v/>
      </c>
      <c r="K183" s="24" t="str">
        <f aca="false">IF($D183="","",IFERROR(IF(INDEX(モデル一覧!$L:$L,MATCH($D183,モデル一覧!$A:$A,0))="","",DATE(INDEX(モデル一覧!$K:$K,MATCH($D183,モデル一覧!$A:$A,0)),INDEX(モデル一覧!$L:$L,MATCH($D183,モデル一覧!$A:$A,0)),1)),""))</f>
        <v/>
      </c>
      <c r="L183" s="25" t="str">
        <f aca="false">IF(OR($F183="",$G183=""),"",(YEAR($F183)-YEAR($G183))*12+MONTH($F183)-MONTH($G183))</f>
        <v/>
      </c>
      <c r="M183" s="25" t="str">
        <f aca="false">IF(OR($F183="",$K183=""),"",(YEAR($F183)-YEAR($K183))*12+MONTH($F183)-MONTH($K183))</f>
        <v/>
      </c>
      <c r="N183" s="23" t="str">
        <f aca="false">IF($L183="","",IF(ABS($L183)&lt;=3,"整合",IF($L183&gt;3,"S&amp;P先行：SOP・生産国・世代を確認","ML先行：旧世代込み・先行登録を確認")))</f>
        <v/>
      </c>
      <c r="O183" s="22"/>
      <c r="P183" s="19"/>
    </row>
    <row r="184" customFormat="false" ht="15" hidden="false" customHeight="false" outlineLevel="0" collapsed="false">
      <c r="A184" s="19"/>
      <c r="B184" s="19"/>
      <c r="C184" s="19"/>
      <c r="D184" s="20"/>
      <c r="E184" s="21"/>
      <c r="F184" s="22"/>
      <c r="G184" s="22"/>
      <c r="H184" s="21"/>
      <c r="I184" s="23" t="str">
        <f aca="false">IF($D184="","",IFERROR(INDEX(モデル一覧!$D:$D,MATCH($D184,モデル一覧!$A:$A,0)),"IDなし"))</f>
        <v/>
      </c>
      <c r="J184" s="23" t="str">
        <f aca="false">IF($D184="","",IFERROR(INDEX(モデル一覧!$E:$E,MATCH($D184,モデル一覧!$A:$A,0)),"IDなし"))</f>
        <v/>
      </c>
      <c r="K184" s="24" t="str">
        <f aca="false">IF($D184="","",IFERROR(IF(INDEX(モデル一覧!$L:$L,MATCH($D184,モデル一覧!$A:$A,0))="","",DATE(INDEX(モデル一覧!$K:$K,MATCH($D184,モデル一覧!$A:$A,0)),INDEX(モデル一覧!$L:$L,MATCH($D184,モデル一覧!$A:$A,0)),1)),""))</f>
        <v/>
      </c>
      <c r="L184" s="25" t="str">
        <f aca="false">IF(OR($F184="",$G184=""),"",(YEAR($F184)-YEAR($G184))*12+MONTH($F184)-MONTH($G184))</f>
        <v/>
      </c>
      <c r="M184" s="25" t="str">
        <f aca="false">IF(OR($F184="",$K184=""),"",(YEAR($F184)-YEAR($K184))*12+MONTH($F184)-MONTH($K184))</f>
        <v/>
      </c>
      <c r="N184" s="23" t="str">
        <f aca="false">IF($L184="","",IF(ABS($L184)&lt;=3,"整合",IF($L184&gt;3,"S&amp;P先行：SOP・生産国・世代を確認","ML先行：旧世代込み・先行登録を確認")))</f>
        <v/>
      </c>
      <c r="O184" s="22"/>
      <c r="P184" s="19"/>
    </row>
    <row r="185" customFormat="false" ht="15" hidden="false" customHeight="false" outlineLevel="0" collapsed="false">
      <c r="A185" s="19"/>
      <c r="B185" s="19"/>
      <c r="C185" s="19"/>
      <c r="D185" s="20"/>
      <c r="E185" s="21"/>
      <c r="F185" s="22"/>
      <c r="G185" s="22"/>
      <c r="H185" s="21"/>
      <c r="I185" s="23" t="str">
        <f aca="false">IF($D185="","",IFERROR(INDEX(モデル一覧!$D:$D,MATCH($D185,モデル一覧!$A:$A,0)),"IDなし"))</f>
        <v/>
      </c>
      <c r="J185" s="23" t="str">
        <f aca="false">IF($D185="","",IFERROR(INDEX(モデル一覧!$E:$E,MATCH($D185,モデル一覧!$A:$A,0)),"IDなし"))</f>
        <v/>
      </c>
      <c r="K185" s="24" t="str">
        <f aca="false">IF($D185="","",IFERROR(IF(INDEX(モデル一覧!$L:$L,MATCH($D185,モデル一覧!$A:$A,0))="","",DATE(INDEX(モデル一覧!$K:$K,MATCH($D185,モデル一覧!$A:$A,0)),INDEX(モデル一覧!$L:$L,MATCH($D185,モデル一覧!$A:$A,0)),1)),""))</f>
        <v/>
      </c>
      <c r="L185" s="25" t="str">
        <f aca="false">IF(OR($F185="",$G185=""),"",(YEAR($F185)-YEAR($G185))*12+MONTH($F185)-MONTH($G185))</f>
        <v/>
      </c>
      <c r="M185" s="25" t="str">
        <f aca="false">IF(OR($F185="",$K185=""),"",(YEAR($F185)-YEAR($K185))*12+MONTH($F185)-MONTH($K185))</f>
        <v/>
      </c>
      <c r="N185" s="23" t="str">
        <f aca="false">IF($L185="","",IF(ABS($L185)&lt;=3,"整合",IF($L185&gt;3,"S&amp;P先行：SOP・生産国・世代を確認","ML先行：旧世代込み・先行登録を確認")))</f>
        <v/>
      </c>
      <c r="O185" s="22"/>
      <c r="P185" s="19"/>
    </row>
    <row r="186" customFormat="false" ht="15" hidden="false" customHeight="false" outlineLevel="0" collapsed="false">
      <c r="A186" s="19"/>
      <c r="B186" s="19"/>
      <c r="C186" s="19"/>
      <c r="D186" s="20"/>
      <c r="E186" s="21"/>
      <c r="F186" s="22"/>
      <c r="G186" s="22"/>
      <c r="H186" s="21"/>
      <c r="I186" s="23" t="str">
        <f aca="false">IF($D186="","",IFERROR(INDEX(モデル一覧!$D:$D,MATCH($D186,モデル一覧!$A:$A,0)),"IDなし"))</f>
        <v/>
      </c>
      <c r="J186" s="23" t="str">
        <f aca="false">IF($D186="","",IFERROR(INDEX(モデル一覧!$E:$E,MATCH($D186,モデル一覧!$A:$A,0)),"IDなし"))</f>
        <v/>
      </c>
      <c r="K186" s="24" t="str">
        <f aca="false">IF($D186="","",IFERROR(IF(INDEX(モデル一覧!$L:$L,MATCH($D186,モデル一覧!$A:$A,0))="","",DATE(INDEX(モデル一覧!$K:$K,MATCH($D186,モデル一覧!$A:$A,0)),INDEX(モデル一覧!$L:$L,MATCH($D186,モデル一覧!$A:$A,0)),1)),""))</f>
        <v/>
      </c>
      <c r="L186" s="25" t="str">
        <f aca="false">IF(OR($F186="",$G186=""),"",(YEAR($F186)-YEAR($G186))*12+MONTH($F186)-MONTH($G186))</f>
        <v/>
      </c>
      <c r="M186" s="25" t="str">
        <f aca="false">IF(OR($F186="",$K186=""),"",(YEAR($F186)-YEAR($K186))*12+MONTH($F186)-MONTH($K186))</f>
        <v/>
      </c>
      <c r="N186" s="23" t="str">
        <f aca="false">IF($L186="","",IF(ABS($L186)&lt;=3,"整合",IF($L186&gt;3,"S&amp;P先行：SOP・生産国・世代を確認","ML先行：旧世代込み・先行登録を確認")))</f>
        <v/>
      </c>
      <c r="O186" s="22"/>
      <c r="P186" s="19"/>
    </row>
    <row r="187" customFormat="false" ht="15" hidden="false" customHeight="false" outlineLevel="0" collapsed="false">
      <c r="A187" s="19"/>
      <c r="B187" s="19"/>
      <c r="C187" s="19"/>
      <c r="D187" s="20"/>
      <c r="E187" s="21"/>
      <c r="F187" s="22"/>
      <c r="G187" s="22"/>
      <c r="H187" s="21"/>
      <c r="I187" s="23" t="str">
        <f aca="false">IF($D187="","",IFERROR(INDEX(モデル一覧!$D:$D,MATCH($D187,モデル一覧!$A:$A,0)),"IDなし"))</f>
        <v/>
      </c>
      <c r="J187" s="23" t="str">
        <f aca="false">IF($D187="","",IFERROR(INDEX(モデル一覧!$E:$E,MATCH($D187,モデル一覧!$A:$A,0)),"IDなし"))</f>
        <v/>
      </c>
      <c r="K187" s="24" t="str">
        <f aca="false">IF($D187="","",IFERROR(IF(INDEX(モデル一覧!$L:$L,MATCH($D187,モデル一覧!$A:$A,0))="","",DATE(INDEX(モデル一覧!$K:$K,MATCH($D187,モデル一覧!$A:$A,0)),INDEX(モデル一覧!$L:$L,MATCH($D187,モデル一覧!$A:$A,0)),1)),""))</f>
        <v/>
      </c>
      <c r="L187" s="25" t="str">
        <f aca="false">IF(OR($F187="",$G187=""),"",(YEAR($F187)-YEAR($G187))*12+MONTH($F187)-MONTH($G187))</f>
        <v/>
      </c>
      <c r="M187" s="25" t="str">
        <f aca="false">IF(OR($F187="",$K187=""),"",(YEAR($F187)-YEAR($K187))*12+MONTH($F187)-MONTH($K187))</f>
        <v/>
      </c>
      <c r="N187" s="23" t="str">
        <f aca="false">IF($L187="","",IF(ABS($L187)&lt;=3,"整合",IF($L187&gt;3,"S&amp;P先行：SOP・生産国・世代を確認","ML先行：旧世代込み・先行登録を確認")))</f>
        <v/>
      </c>
      <c r="O187" s="22"/>
      <c r="P187" s="19"/>
    </row>
    <row r="188" customFormat="false" ht="15" hidden="false" customHeight="false" outlineLevel="0" collapsed="false">
      <c r="A188" s="19"/>
      <c r="B188" s="19"/>
      <c r="C188" s="19"/>
      <c r="D188" s="20"/>
      <c r="E188" s="21"/>
      <c r="F188" s="22"/>
      <c r="G188" s="22"/>
      <c r="H188" s="21"/>
      <c r="I188" s="23" t="str">
        <f aca="false">IF($D188="","",IFERROR(INDEX(モデル一覧!$D:$D,MATCH($D188,モデル一覧!$A:$A,0)),"IDなし"))</f>
        <v/>
      </c>
      <c r="J188" s="23" t="str">
        <f aca="false">IF($D188="","",IFERROR(INDEX(モデル一覧!$E:$E,MATCH($D188,モデル一覧!$A:$A,0)),"IDなし"))</f>
        <v/>
      </c>
      <c r="K188" s="24" t="str">
        <f aca="false">IF($D188="","",IFERROR(IF(INDEX(モデル一覧!$L:$L,MATCH($D188,モデル一覧!$A:$A,0))="","",DATE(INDEX(モデル一覧!$K:$K,MATCH($D188,モデル一覧!$A:$A,0)),INDEX(モデル一覧!$L:$L,MATCH($D188,モデル一覧!$A:$A,0)),1)),""))</f>
        <v/>
      </c>
      <c r="L188" s="25" t="str">
        <f aca="false">IF(OR($F188="",$G188=""),"",(YEAR($F188)-YEAR($G188))*12+MONTH($F188)-MONTH($G188))</f>
        <v/>
      </c>
      <c r="M188" s="25" t="str">
        <f aca="false">IF(OR($F188="",$K188=""),"",(YEAR($F188)-YEAR($K188))*12+MONTH($F188)-MONTH($K188))</f>
        <v/>
      </c>
      <c r="N188" s="23" t="str">
        <f aca="false">IF($L188="","",IF(ABS($L188)&lt;=3,"整合",IF($L188&gt;3,"S&amp;P先行：SOP・生産国・世代を確認","ML先行：旧世代込み・先行登録を確認")))</f>
        <v/>
      </c>
      <c r="O188" s="22"/>
      <c r="P188" s="19"/>
    </row>
    <row r="189" customFormat="false" ht="15" hidden="false" customHeight="false" outlineLevel="0" collapsed="false">
      <c r="A189" s="19"/>
      <c r="B189" s="19"/>
      <c r="C189" s="19"/>
      <c r="D189" s="20"/>
      <c r="E189" s="21"/>
      <c r="F189" s="22"/>
      <c r="G189" s="22"/>
      <c r="H189" s="21"/>
      <c r="I189" s="23" t="str">
        <f aca="false">IF($D189="","",IFERROR(INDEX(モデル一覧!$D:$D,MATCH($D189,モデル一覧!$A:$A,0)),"IDなし"))</f>
        <v/>
      </c>
      <c r="J189" s="23" t="str">
        <f aca="false">IF($D189="","",IFERROR(INDEX(モデル一覧!$E:$E,MATCH($D189,モデル一覧!$A:$A,0)),"IDなし"))</f>
        <v/>
      </c>
      <c r="K189" s="24" t="str">
        <f aca="false">IF($D189="","",IFERROR(IF(INDEX(モデル一覧!$L:$L,MATCH($D189,モデル一覧!$A:$A,0))="","",DATE(INDEX(モデル一覧!$K:$K,MATCH($D189,モデル一覧!$A:$A,0)),INDEX(モデル一覧!$L:$L,MATCH($D189,モデル一覧!$A:$A,0)),1)),""))</f>
        <v/>
      </c>
      <c r="L189" s="25" t="str">
        <f aca="false">IF(OR($F189="",$G189=""),"",(YEAR($F189)-YEAR($G189))*12+MONTH($F189)-MONTH($G189))</f>
        <v/>
      </c>
      <c r="M189" s="25" t="str">
        <f aca="false">IF(OR($F189="",$K189=""),"",(YEAR($F189)-YEAR($K189))*12+MONTH($F189)-MONTH($K189))</f>
        <v/>
      </c>
      <c r="N189" s="23" t="str">
        <f aca="false">IF($L189="","",IF(ABS($L189)&lt;=3,"整合",IF($L189&gt;3,"S&amp;P先行：SOP・生産国・世代を確認","ML先行：旧世代込み・先行登録を確認")))</f>
        <v/>
      </c>
      <c r="O189" s="22"/>
      <c r="P189" s="19"/>
    </row>
    <row r="190" customFormat="false" ht="15" hidden="false" customHeight="false" outlineLevel="0" collapsed="false">
      <c r="A190" s="19"/>
      <c r="B190" s="19"/>
      <c r="C190" s="19"/>
      <c r="D190" s="20"/>
      <c r="E190" s="21"/>
      <c r="F190" s="22"/>
      <c r="G190" s="22"/>
      <c r="H190" s="21"/>
      <c r="I190" s="23" t="str">
        <f aca="false">IF($D190="","",IFERROR(INDEX(モデル一覧!$D:$D,MATCH($D190,モデル一覧!$A:$A,0)),"IDなし"))</f>
        <v/>
      </c>
      <c r="J190" s="23" t="str">
        <f aca="false">IF($D190="","",IFERROR(INDEX(モデル一覧!$E:$E,MATCH($D190,モデル一覧!$A:$A,0)),"IDなし"))</f>
        <v/>
      </c>
      <c r="K190" s="24" t="str">
        <f aca="false">IF($D190="","",IFERROR(IF(INDEX(モデル一覧!$L:$L,MATCH($D190,モデル一覧!$A:$A,0))="","",DATE(INDEX(モデル一覧!$K:$K,MATCH($D190,モデル一覧!$A:$A,0)),INDEX(モデル一覧!$L:$L,MATCH($D190,モデル一覧!$A:$A,0)),1)),""))</f>
        <v/>
      </c>
      <c r="L190" s="25" t="str">
        <f aca="false">IF(OR($F190="",$G190=""),"",(YEAR($F190)-YEAR($G190))*12+MONTH($F190)-MONTH($G190))</f>
        <v/>
      </c>
      <c r="M190" s="25" t="str">
        <f aca="false">IF(OR($F190="",$K190=""),"",(YEAR($F190)-YEAR($K190))*12+MONTH($F190)-MONTH($K190))</f>
        <v/>
      </c>
      <c r="N190" s="23" t="str">
        <f aca="false">IF($L190="","",IF(ABS($L190)&lt;=3,"整合",IF($L190&gt;3,"S&amp;P先行：SOP・生産国・世代を確認","ML先行：旧世代込み・先行登録を確認")))</f>
        <v/>
      </c>
      <c r="O190" s="22"/>
      <c r="P190" s="19"/>
    </row>
    <row r="191" customFormat="false" ht="15" hidden="false" customHeight="false" outlineLevel="0" collapsed="false">
      <c r="A191" s="19"/>
      <c r="B191" s="19"/>
      <c r="C191" s="19"/>
      <c r="D191" s="20"/>
      <c r="E191" s="21"/>
      <c r="F191" s="22"/>
      <c r="G191" s="22"/>
      <c r="H191" s="21"/>
      <c r="I191" s="23" t="str">
        <f aca="false">IF($D191="","",IFERROR(INDEX(モデル一覧!$D:$D,MATCH($D191,モデル一覧!$A:$A,0)),"IDなし"))</f>
        <v/>
      </c>
      <c r="J191" s="23" t="str">
        <f aca="false">IF($D191="","",IFERROR(INDEX(モデル一覧!$E:$E,MATCH($D191,モデル一覧!$A:$A,0)),"IDなし"))</f>
        <v/>
      </c>
      <c r="K191" s="24" t="str">
        <f aca="false">IF($D191="","",IFERROR(IF(INDEX(モデル一覧!$L:$L,MATCH($D191,モデル一覧!$A:$A,0))="","",DATE(INDEX(モデル一覧!$K:$K,MATCH($D191,モデル一覧!$A:$A,0)),INDEX(モデル一覧!$L:$L,MATCH($D191,モデル一覧!$A:$A,0)),1)),""))</f>
        <v/>
      </c>
      <c r="L191" s="25" t="str">
        <f aca="false">IF(OR($F191="",$G191=""),"",(YEAR($F191)-YEAR($G191))*12+MONTH($F191)-MONTH($G191))</f>
        <v/>
      </c>
      <c r="M191" s="25" t="str">
        <f aca="false">IF(OR($F191="",$K191=""),"",(YEAR($F191)-YEAR($K191))*12+MONTH($F191)-MONTH($K191))</f>
        <v/>
      </c>
      <c r="N191" s="23" t="str">
        <f aca="false">IF($L191="","",IF(ABS($L191)&lt;=3,"整合",IF($L191&gt;3,"S&amp;P先行：SOP・生産国・世代を確認","ML先行：旧世代込み・先行登録を確認")))</f>
        <v/>
      </c>
      <c r="O191" s="22"/>
      <c r="P191" s="19"/>
    </row>
    <row r="192" customFormat="false" ht="15" hidden="false" customHeight="false" outlineLevel="0" collapsed="false">
      <c r="A192" s="19"/>
      <c r="B192" s="19"/>
      <c r="C192" s="19"/>
      <c r="D192" s="20"/>
      <c r="E192" s="21"/>
      <c r="F192" s="22"/>
      <c r="G192" s="22"/>
      <c r="H192" s="21"/>
      <c r="I192" s="23" t="str">
        <f aca="false">IF($D192="","",IFERROR(INDEX(モデル一覧!$D:$D,MATCH($D192,モデル一覧!$A:$A,0)),"IDなし"))</f>
        <v/>
      </c>
      <c r="J192" s="23" t="str">
        <f aca="false">IF($D192="","",IFERROR(INDEX(モデル一覧!$E:$E,MATCH($D192,モデル一覧!$A:$A,0)),"IDなし"))</f>
        <v/>
      </c>
      <c r="K192" s="24" t="str">
        <f aca="false">IF($D192="","",IFERROR(IF(INDEX(モデル一覧!$L:$L,MATCH($D192,モデル一覧!$A:$A,0))="","",DATE(INDEX(モデル一覧!$K:$K,MATCH($D192,モデル一覧!$A:$A,0)),INDEX(モデル一覧!$L:$L,MATCH($D192,モデル一覧!$A:$A,0)),1)),""))</f>
        <v/>
      </c>
      <c r="L192" s="25" t="str">
        <f aca="false">IF(OR($F192="",$G192=""),"",(YEAR($F192)-YEAR($G192))*12+MONTH($F192)-MONTH($G192))</f>
        <v/>
      </c>
      <c r="M192" s="25" t="str">
        <f aca="false">IF(OR($F192="",$K192=""),"",(YEAR($F192)-YEAR($K192))*12+MONTH($F192)-MONTH($K192))</f>
        <v/>
      </c>
      <c r="N192" s="23" t="str">
        <f aca="false">IF($L192="","",IF(ABS($L192)&lt;=3,"整合",IF($L192&gt;3,"S&amp;P先行：SOP・生産国・世代を確認","ML先行：旧世代込み・先行登録を確認")))</f>
        <v/>
      </c>
      <c r="O192" s="22"/>
      <c r="P192" s="19"/>
    </row>
    <row r="193" customFormat="false" ht="15" hidden="false" customHeight="false" outlineLevel="0" collapsed="false">
      <c r="A193" s="19"/>
      <c r="B193" s="19"/>
      <c r="C193" s="19"/>
      <c r="D193" s="20"/>
      <c r="E193" s="21"/>
      <c r="F193" s="22"/>
      <c r="G193" s="22"/>
      <c r="H193" s="21"/>
      <c r="I193" s="23" t="str">
        <f aca="false">IF($D193="","",IFERROR(INDEX(モデル一覧!$D:$D,MATCH($D193,モデル一覧!$A:$A,0)),"IDなし"))</f>
        <v/>
      </c>
      <c r="J193" s="23" t="str">
        <f aca="false">IF($D193="","",IFERROR(INDEX(モデル一覧!$E:$E,MATCH($D193,モデル一覧!$A:$A,0)),"IDなし"))</f>
        <v/>
      </c>
      <c r="K193" s="24" t="str">
        <f aca="false">IF($D193="","",IFERROR(IF(INDEX(モデル一覧!$L:$L,MATCH($D193,モデル一覧!$A:$A,0))="","",DATE(INDEX(モデル一覧!$K:$K,MATCH($D193,モデル一覧!$A:$A,0)),INDEX(モデル一覧!$L:$L,MATCH($D193,モデル一覧!$A:$A,0)),1)),""))</f>
        <v/>
      </c>
      <c r="L193" s="25" t="str">
        <f aca="false">IF(OR($F193="",$G193=""),"",(YEAR($F193)-YEAR($G193))*12+MONTH($F193)-MONTH($G193))</f>
        <v/>
      </c>
      <c r="M193" s="25" t="str">
        <f aca="false">IF(OR($F193="",$K193=""),"",(YEAR($F193)-YEAR($K193))*12+MONTH($F193)-MONTH($K193))</f>
        <v/>
      </c>
      <c r="N193" s="23" t="str">
        <f aca="false">IF($L193="","",IF(ABS($L193)&lt;=3,"整合",IF($L193&gt;3,"S&amp;P先行：SOP・生産国・世代を確認","ML先行：旧世代込み・先行登録を確認")))</f>
        <v/>
      </c>
      <c r="O193" s="22"/>
      <c r="P193" s="19"/>
    </row>
    <row r="194" customFormat="false" ht="15" hidden="false" customHeight="false" outlineLevel="0" collapsed="false">
      <c r="A194" s="19"/>
      <c r="B194" s="19"/>
      <c r="C194" s="19"/>
      <c r="D194" s="20"/>
      <c r="E194" s="21"/>
      <c r="F194" s="22"/>
      <c r="G194" s="22"/>
      <c r="H194" s="21"/>
      <c r="I194" s="23" t="str">
        <f aca="false">IF($D194="","",IFERROR(INDEX(モデル一覧!$D:$D,MATCH($D194,モデル一覧!$A:$A,0)),"IDなし"))</f>
        <v/>
      </c>
      <c r="J194" s="23" t="str">
        <f aca="false">IF($D194="","",IFERROR(INDEX(モデル一覧!$E:$E,MATCH($D194,モデル一覧!$A:$A,0)),"IDなし"))</f>
        <v/>
      </c>
      <c r="K194" s="24" t="str">
        <f aca="false">IF($D194="","",IFERROR(IF(INDEX(モデル一覧!$L:$L,MATCH($D194,モデル一覧!$A:$A,0))="","",DATE(INDEX(モデル一覧!$K:$K,MATCH($D194,モデル一覧!$A:$A,0)),INDEX(モデル一覧!$L:$L,MATCH($D194,モデル一覧!$A:$A,0)),1)),""))</f>
        <v/>
      </c>
      <c r="L194" s="25" t="str">
        <f aca="false">IF(OR($F194="",$G194=""),"",(YEAR($F194)-YEAR($G194))*12+MONTH($F194)-MONTH($G194))</f>
        <v/>
      </c>
      <c r="M194" s="25" t="str">
        <f aca="false">IF(OR($F194="",$K194=""),"",(YEAR($F194)-YEAR($K194))*12+MONTH($F194)-MONTH($K194))</f>
        <v/>
      </c>
      <c r="N194" s="23" t="str">
        <f aca="false">IF($L194="","",IF(ABS($L194)&lt;=3,"整合",IF($L194&gt;3,"S&amp;P先行：SOP・生産国・世代を確認","ML先行：旧世代込み・先行登録を確認")))</f>
        <v/>
      </c>
      <c r="O194" s="22"/>
      <c r="P194" s="19"/>
    </row>
    <row r="195" customFormat="false" ht="15" hidden="false" customHeight="false" outlineLevel="0" collapsed="false">
      <c r="A195" s="19"/>
      <c r="B195" s="19"/>
      <c r="C195" s="19"/>
      <c r="D195" s="20"/>
      <c r="E195" s="21"/>
      <c r="F195" s="22"/>
      <c r="G195" s="22"/>
      <c r="H195" s="21"/>
      <c r="I195" s="23" t="str">
        <f aca="false">IF($D195="","",IFERROR(INDEX(モデル一覧!$D:$D,MATCH($D195,モデル一覧!$A:$A,0)),"IDなし"))</f>
        <v/>
      </c>
      <c r="J195" s="23" t="str">
        <f aca="false">IF($D195="","",IFERROR(INDEX(モデル一覧!$E:$E,MATCH($D195,モデル一覧!$A:$A,0)),"IDなし"))</f>
        <v/>
      </c>
      <c r="K195" s="24" t="str">
        <f aca="false">IF($D195="","",IFERROR(IF(INDEX(モデル一覧!$L:$L,MATCH($D195,モデル一覧!$A:$A,0))="","",DATE(INDEX(モデル一覧!$K:$K,MATCH($D195,モデル一覧!$A:$A,0)),INDEX(モデル一覧!$L:$L,MATCH($D195,モデル一覧!$A:$A,0)),1)),""))</f>
        <v/>
      </c>
      <c r="L195" s="25" t="str">
        <f aca="false">IF(OR($F195="",$G195=""),"",(YEAR($F195)-YEAR($G195))*12+MONTH($F195)-MONTH($G195))</f>
        <v/>
      </c>
      <c r="M195" s="25" t="str">
        <f aca="false">IF(OR($F195="",$K195=""),"",(YEAR($F195)-YEAR($K195))*12+MONTH($F195)-MONTH($K195))</f>
        <v/>
      </c>
      <c r="N195" s="23" t="str">
        <f aca="false">IF($L195="","",IF(ABS($L195)&lt;=3,"整合",IF($L195&gt;3,"S&amp;P先行：SOP・生産国・世代を確認","ML先行：旧世代込み・先行登録を確認")))</f>
        <v/>
      </c>
      <c r="O195" s="22"/>
      <c r="P195" s="19"/>
    </row>
    <row r="196" customFormat="false" ht="15" hidden="false" customHeight="false" outlineLevel="0" collapsed="false">
      <c r="A196" s="19"/>
      <c r="B196" s="19"/>
      <c r="C196" s="19"/>
      <c r="D196" s="20"/>
      <c r="E196" s="21"/>
      <c r="F196" s="22"/>
      <c r="G196" s="22"/>
      <c r="H196" s="21"/>
      <c r="I196" s="23" t="str">
        <f aca="false">IF($D196="","",IFERROR(INDEX(モデル一覧!$D:$D,MATCH($D196,モデル一覧!$A:$A,0)),"IDなし"))</f>
        <v/>
      </c>
      <c r="J196" s="23" t="str">
        <f aca="false">IF($D196="","",IFERROR(INDEX(モデル一覧!$E:$E,MATCH($D196,モデル一覧!$A:$A,0)),"IDなし"))</f>
        <v/>
      </c>
      <c r="K196" s="24" t="str">
        <f aca="false">IF($D196="","",IFERROR(IF(INDEX(モデル一覧!$L:$L,MATCH($D196,モデル一覧!$A:$A,0))="","",DATE(INDEX(モデル一覧!$K:$K,MATCH($D196,モデル一覧!$A:$A,0)),INDEX(モデル一覧!$L:$L,MATCH($D196,モデル一覧!$A:$A,0)),1)),""))</f>
        <v/>
      </c>
      <c r="L196" s="25" t="str">
        <f aca="false">IF(OR($F196="",$G196=""),"",(YEAR($F196)-YEAR($G196))*12+MONTH($F196)-MONTH($G196))</f>
        <v/>
      </c>
      <c r="M196" s="25" t="str">
        <f aca="false">IF(OR($F196="",$K196=""),"",(YEAR($F196)-YEAR($K196))*12+MONTH($F196)-MONTH($K196))</f>
        <v/>
      </c>
      <c r="N196" s="23" t="str">
        <f aca="false">IF($L196="","",IF(ABS($L196)&lt;=3,"整合",IF($L196&gt;3,"S&amp;P先行：SOP・生産国・世代を確認","ML先行：旧世代込み・先行登録を確認")))</f>
        <v/>
      </c>
      <c r="O196" s="22"/>
      <c r="P196" s="19"/>
    </row>
    <row r="197" customFormat="false" ht="15" hidden="false" customHeight="false" outlineLevel="0" collapsed="false">
      <c r="A197" s="19"/>
      <c r="B197" s="19"/>
      <c r="C197" s="19"/>
      <c r="D197" s="20"/>
      <c r="E197" s="21"/>
      <c r="F197" s="22"/>
      <c r="G197" s="22"/>
      <c r="H197" s="21"/>
      <c r="I197" s="23" t="str">
        <f aca="false">IF($D197="","",IFERROR(INDEX(モデル一覧!$D:$D,MATCH($D197,モデル一覧!$A:$A,0)),"IDなし"))</f>
        <v/>
      </c>
      <c r="J197" s="23" t="str">
        <f aca="false">IF($D197="","",IFERROR(INDEX(モデル一覧!$E:$E,MATCH($D197,モデル一覧!$A:$A,0)),"IDなし"))</f>
        <v/>
      </c>
      <c r="K197" s="24" t="str">
        <f aca="false">IF($D197="","",IFERROR(IF(INDEX(モデル一覧!$L:$L,MATCH($D197,モデル一覧!$A:$A,0))="","",DATE(INDEX(モデル一覧!$K:$K,MATCH($D197,モデル一覧!$A:$A,0)),INDEX(モデル一覧!$L:$L,MATCH($D197,モデル一覧!$A:$A,0)),1)),""))</f>
        <v/>
      </c>
      <c r="L197" s="25" t="str">
        <f aca="false">IF(OR($F197="",$G197=""),"",(YEAR($F197)-YEAR($G197))*12+MONTH($F197)-MONTH($G197))</f>
        <v/>
      </c>
      <c r="M197" s="25" t="str">
        <f aca="false">IF(OR($F197="",$K197=""),"",(YEAR($F197)-YEAR($K197))*12+MONTH($F197)-MONTH($K197))</f>
        <v/>
      </c>
      <c r="N197" s="23" t="str">
        <f aca="false">IF($L197="","",IF(ABS($L197)&lt;=3,"整合",IF($L197&gt;3,"S&amp;P先行：SOP・生産国・世代を確認","ML先行：旧世代込み・先行登録を確認")))</f>
        <v/>
      </c>
      <c r="O197" s="22"/>
      <c r="P197" s="19"/>
    </row>
    <row r="198" customFormat="false" ht="15" hidden="false" customHeight="false" outlineLevel="0" collapsed="false">
      <c r="A198" s="19"/>
      <c r="B198" s="19"/>
      <c r="C198" s="19"/>
      <c r="D198" s="20"/>
      <c r="E198" s="21"/>
      <c r="F198" s="22"/>
      <c r="G198" s="22"/>
      <c r="H198" s="21"/>
      <c r="I198" s="23" t="str">
        <f aca="false">IF($D198="","",IFERROR(INDEX(モデル一覧!$D:$D,MATCH($D198,モデル一覧!$A:$A,0)),"IDなし"))</f>
        <v/>
      </c>
      <c r="J198" s="23" t="str">
        <f aca="false">IF($D198="","",IFERROR(INDEX(モデル一覧!$E:$E,MATCH($D198,モデル一覧!$A:$A,0)),"IDなし"))</f>
        <v/>
      </c>
      <c r="K198" s="24" t="str">
        <f aca="false">IF($D198="","",IFERROR(IF(INDEX(モデル一覧!$L:$L,MATCH($D198,モデル一覧!$A:$A,0))="","",DATE(INDEX(モデル一覧!$K:$K,MATCH($D198,モデル一覧!$A:$A,0)),INDEX(モデル一覧!$L:$L,MATCH($D198,モデル一覧!$A:$A,0)),1)),""))</f>
        <v/>
      </c>
      <c r="L198" s="25" t="str">
        <f aca="false">IF(OR($F198="",$G198=""),"",(YEAR($F198)-YEAR($G198))*12+MONTH($F198)-MONTH($G198))</f>
        <v/>
      </c>
      <c r="M198" s="25" t="str">
        <f aca="false">IF(OR($F198="",$K198=""),"",(YEAR($F198)-YEAR($K198))*12+MONTH($F198)-MONTH($K198))</f>
        <v/>
      </c>
      <c r="N198" s="23" t="str">
        <f aca="false">IF($L198="","",IF(ABS($L198)&lt;=3,"整合",IF($L198&gt;3,"S&amp;P先行：SOP・生産国・世代を確認","ML先行：旧世代込み・先行登録を確認")))</f>
        <v/>
      </c>
      <c r="O198" s="22"/>
      <c r="P198" s="19"/>
    </row>
    <row r="199" customFormat="false" ht="15" hidden="false" customHeight="false" outlineLevel="0" collapsed="false">
      <c r="A199" s="19"/>
      <c r="B199" s="19"/>
      <c r="C199" s="19"/>
      <c r="D199" s="20"/>
      <c r="E199" s="21"/>
      <c r="F199" s="22"/>
      <c r="G199" s="22"/>
      <c r="H199" s="21"/>
      <c r="I199" s="23" t="str">
        <f aca="false">IF($D199="","",IFERROR(INDEX(モデル一覧!$D:$D,MATCH($D199,モデル一覧!$A:$A,0)),"IDなし"))</f>
        <v/>
      </c>
      <c r="J199" s="23" t="str">
        <f aca="false">IF($D199="","",IFERROR(INDEX(モデル一覧!$E:$E,MATCH($D199,モデル一覧!$A:$A,0)),"IDなし"))</f>
        <v/>
      </c>
      <c r="K199" s="24" t="str">
        <f aca="false">IF($D199="","",IFERROR(IF(INDEX(モデル一覧!$L:$L,MATCH($D199,モデル一覧!$A:$A,0))="","",DATE(INDEX(モデル一覧!$K:$K,MATCH($D199,モデル一覧!$A:$A,0)),INDEX(モデル一覧!$L:$L,MATCH($D199,モデル一覧!$A:$A,0)),1)),""))</f>
        <v/>
      </c>
      <c r="L199" s="25" t="str">
        <f aca="false">IF(OR($F199="",$G199=""),"",(YEAR($F199)-YEAR($G199))*12+MONTH($F199)-MONTH($G199))</f>
        <v/>
      </c>
      <c r="M199" s="25" t="str">
        <f aca="false">IF(OR($F199="",$K199=""),"",(YEAR($F199)-YEAR($K199))*12+MONTH($F199)-MONTH($K199))</f>
        <v/>
      </c>
      <c r="N199" s="23" t="str">
        <f aca="false">IF($L199="","",IF(ABS($L199)&lt;=3,"整合",IF($L199&gt;3,"S&amp;P先行：SOP・生産国・世代を確認","ML先行：旧世代込み・先行登録を確認")))</f>
        <v/>
      </c>
      <c r="O199" s="22"/>
      <c r="P199" s="19"/>
    </row>
    <row r="200" customFormat="false" ht="15" hidden="false" customHeight="false" outlineLevel="0" collapsed="false">
      <c r="A200" s="19"/>
      <c r="B200" s="19"/>
      <c r="C200" s="19"/>
      <c r="D200" s="20"/>
      <c r="E200" s="21"/>
      <c r="F200" s="22"/>
      <c r="G200" s="22"/>
      <c r="H200" s="21"/>
      <c r="I200" s="23" t="str">
        <f aca="false">IF($D200="","",IFERROR(INDEX(モデル一覧!$D:$D,MATCH($D200,モデル一覧!$A:$A,0)),"IDなし"))</f>
        <v/>
      </c>
      <c r="J200" s="23" t="str">
        <f aca="false">IF($D200="","",IFERROR(INDEX(モデル一覧!$E:$E,MATCH($D200,モデル一覧!$A:$A,0)),"IDなし"))</f>
        <v/>
      </c>
      <c r="K200" s="24" t="str">
        <f aca="false">IF($D200="","",IFERROR(IF(INDEX(モデル一覧!$L:$L,MATCH($D200,モデル一覧!$A:$A,0))="","",DATE(INDEX(モデル一覧!$K:$K,MATCH($D200,モデル一覧!$A:$A,0)),INDEX(モデル一覧!$L:$L,MATCH($D200,モデル一覧!$A:$A,0)),1)),""))</f>
        <v/>
      </c>
      <c r="L200" s="25" t="str">
        <f aca="false">IF(OR($F200="",$G200=""),"",(YEAR($F200)-YEAR($G200))*12+MONTH($F200)-MONTH($G200))</f>
        <v/>
      </c>
      <c r="M200" s="25" t="str">
        <f aca="false">IF(OR($F200="",$K200=""),"",(YEAR($F200)-YEAR($K200))*12+MONTH($F200)-MONTH($K200))</f>
        <v/>
      </c>
      <c r="N200" s="23" t="str">
        <f aca="false">IF($L200="","",IF(ABS($L200)&lt;=3,"整合",IF($L200&gt;3,"S&amp;P先行：SOP・生産国・世代を確認","ML先行：旧世代込み・先行登録を確認")))</f>
        <v/>
      </c>
      <c r="O200" s="22"/>
      <c r="P200" s="19"/>
    </row>
    <row r="201" customFormat="false" ht="15" hidden="false" customHeight="false" outlineLevel="0" collapsed="false">
      <c r="A201" s="19"/>
      <c r="B201" s="19"/>
      <c r="C201" s="19"/>
      <c r="D201" s="20"/>
      <c r="E201" s="21"/>
      <c r="F201" s="22"/>
      <c r="G201" s="22"/>
      <c r="H201" s="21"/>
      <c r="I201" s="23" t="str">
        <f aca="false">IF($D201="","",IFERROR(INDEX(モデル一覧!$D:$D,MATCH($D201,モデル一覧!$A:$A,0)),"IDなし"))</f>
        <v/>
      </c>
      <c r="J201" s="23" t="str">
        <f aca="false">IF($D201="","",IFERROR(INDEX(モデル一覧!$E:$E,MATCH($D201,モデル一覧!$A:$A,0)),"IDなし"))</f>
        <v/>
      </c>
      <c r="K201" s="24" t="str">
        <f aca="false">IF($D201="","",IFERROR(IF(INDEX(モデル一覧!$L:$L,MATCH($D201,モデル一覧!$A:$A,0))="","",DATE(INDEX(モデル一覧!$K:$K,MATCH($D201,モデル一覧!$A:$A,0)),INDEX(モデル一覧!$L:$L,MATCH($D201,モデル一覧!$A:$A,0)),1)),""))</f>
        <v/>
      </c>
      <c r="L201" s="25" t="str">
        <f aca="false">IF(OR($F201="",$G201=""),"",(YEAR($F201)-YEAR($G201))*12+MONTH($F201)-MONTH($G201))</f>
        <v/>
      </c>
      <c r="M201" s="25" t="str">
        <f aca="false">IF(OR($F201="",$K201=""),"",(YEAR($F201)-YEAR($K201))*12+MONTH($F201)-MONTH($K201))</f>
        <v/>
      </c>
      <c r="N201" s="23" t="str">
        <f aca="false">IF($L201="","",IF(ABS($L201)&lt;=3,"整合",IF($L201&gt;3,"S&amp;P先行：SOP・生産国・世代を確認","ML先行：旧世代込み・先行登録を確認")))</f>
        <v/>
      </c>
      <c r="O201" s="22"/>
      <c r="P201" s="19"/>
    </row>
    <row r="202" customFormat="false" ht="15" hidden="false" customHeight="false" outlineLevel="0" collapsed="false">
      <c r="A202" s="19"/>
      <c r="B202" s="19"/>
      <c r="C202" s="19"/>
      <c r="D202" s="20"/>
      <c r="E202" s="21"/>
      <c r="F202" s="22"/>
      <c r="G202" s="22"/>
      <c r="H202" s="21"/>
      <c r="I202" s="23" t="str">
        <f aca="false">IF($D202="","",IFERROR(INDEX(モデル一覧!$D:$D,MATCH($D202,モデル一覧!$A:$A,0)),"IDなし"))</f>
        <v/>
      </c>
      <c r="J202" s="23" t="str">
        <f aca="false">IF($D202="","",IFERROR(INDEX(モデル一覧!$E:$E,MATCH($D202,モデル一覧!$A:$A,0)),"IDなし"))</f>
        <v/>
      </c>
      <c r="K202" s="24" t="str">
        <f aca="false">IF($D202="","",IFERROR(IF(INDEX(モデル一覧!$L:$L,MATCH($D202,モデル一覧!$A:$A,0))="","",DATE(INDEX(モデル一覧!$K:$K,MATCH($D202,モデル一覧!$A:$A,0)),INDEX(モデル一覧!$L:$L,MATCH($D202,モデル一覧!$A:$A,0)),1)),""))</f>
        <v/>
      </c>
      <c r="L202" s="25" t="str">
        <f aca="false">IF(OR($F202="",$G202=""),"",(YEAR($F202)-YEAR($G202))*12+MONTH($F202)-MONTH($G202))</f>
        <v/>
      </c>
      <c r="M202" s="25" t="str">
        <f aca="false">IF(OR($F202="",$K202=""),"",(YEAR($F202)-YEAR($K202))*12+MONTH($F202)-MONTH($K202))</f>
        <v/>
      </c>
      <c r="N202" s="23" t="str">
        <f aca="false">IF($L202="","",IF(ABS($L202)&lt;=3,"整合",IF($L202&gt;3,"S&amp;P先行：SOP・生産国・世代を確認","ML先行：旧世代込み・先行登録を確認")))</f>
        <v/>
      </c>
      <c r="O202" s="22"/>
      <c r="P202" s="19"/>
    </row>
    <row r="203" customFormat="false" ht="15" hidden="false" customHeight="false" outlineLevel="0" collapsed="false">
      <c r="A203" s="19"/>
      <c r="B203" s="19"/>
      <c r="C203" s="19"/>
      <c r="D203" s="20"/>
      <c r="E203" s="21"/>
      <c r="F203" s="22"/>
      <c r="G203" s="22"/>
      <c r="H203" s="21"/>
      <c r="I203" s="23" t="str">
        <f aca="false">IF($D203="","",IFERROR(INDEX(モデル一覧!$D:$D,MATCH($D203,モデル一覧!$A:$A,0)),"IDなし"))</f>
        <v/>
      </c>
      <c r="J203" s="23" t="str">
        <f aca="false">IF($D203="","",IFERROR(INDEX(モデル一覧!$E:$E,MATCH($D203,モデル一覧!$A:$A,0)),"IDなし"))</f>
        <v/>
      </c>
      <c r="K203" s="24" t="str">
        <f aca="false">IF($D203="","",IFERROR(IF(INDEX(モデル一覧!$L:$L,MATCH($D203,モデル一覧!$A:$A,0))="","",DATE(INDEX(モデル一覧!$K:$K,MATCH($D203,モデル一覧!$A:$A,0)),INDEX(モデル一覧!$L:$L,MATCH($D203,モデル一覧!$A:$A,0)),1)),""))</f>
        <v/>
      </c>
      <c r="L203" s="25" t="str">
        <f aca="false">IF(OR($F203="",$G203=""),"",(YEAR($F203)-YEAR($G203))*12+MONTH($F203)-MONTH($G203))</f>
        <v/>
      </c>
      <c r="M203" s="25" t="str">
        <f aca="false">IF(OR($F203="",$K203=""),"",(YEAR($F203)-YEAR($K203))*12+MONTH($F203)-MONTH($K203))</f>
        <v/>
      </c>
      <c r="N203" s="23" t="str">
        <f aca="false">IF($L203="","",IF(ABS($L203)&lt;=3,"整合",IF($L203&gt;3,"S&amp;P先行：SOP・生産国・世代を確認","ML先行：旧世代込み・先行登録を確認")))</f>
        <v/>
      </c>
      <c r="O203" s="22"/>
      <c r="P203" s="19"/>
    </row>
    <row r="204" customFormat="false" ht="15" hidden="false" customHeight="false" outlineLevel="0" collapsed="false">
      <c r="A204" s="19"/>
      <c r="B204" s="19"/>
      <c r="C204" s="19"/>
      <c r="D204" s="20"/>
      <c r="E204" s="21"/>
      <c r="F204" s="22"/>
      <c r="G204" s="22"/>
      <c r="H204" s="21"/>
      <c r="I204" s="23" t="str">
        <f aca="false">IF($D204="","",IFERROR(INDEX(モデル一覧!$D:$D,MATCH($D204,モデル一覧!$A:$A,0)),"IDなし"))</f>
        <v/>
      </c>
      <c r="J204" s="23" t="str">
        <f aca="false">IF($D204="","",IFERROR(INDEX(モデル一覧!$E:$E,MATCH($D204,モデル一覧!$A:$A,0)),"IDなし"))</f>
        <v/>
      </c>
      <c r="K204" s="24" t="str">
        <f aca="false">IF($D204="","",IFERROR(IF(INDEX(モデル一覧!$L:$L,MATCH($D204,モデル一覧!$A:$A,0))="","",DATE(INDEX(モデル一覧!$K:$K,MATCH($D204,モデル一覧!$A:$A,0)),INDEX(モデル一覧!$L:$L,MATCH($D204,モデル一覧!$A:$A,0)),1)),""))</f>
        <v/>
      </c>
      <c r="L204" s="25" t="str">
        <f aca="false">IF(OR($F204="",$G204=""),"",(YEAR($F204)-YEAR($G204))*12+MONTH($F204)-MONTH($G204))</f>
        <v/>
      </c>
      <c r="M204" s="25" t="str">
        <f aca="false">IF(OR($F204="",$K204=""),"",(YEAR($F204)-YEAR($K204))*12+MONTH($F204)-MONTH($K204))</f>
        <v/>
      </c>
      <c r="N204" s="23" t="str">
        <f aca="false">IF($L204="","",IF(ABS($L204)&lt;=3,"整合",IF($L204&gt;3,"S&amp;P先行：SOP・生産国・世代を確認","ML先行：旧世代込み・先行登録を確認")))</f>
        <v/>
      </c>
      <c r="O204" s="22"/>
      <c r="P204" s="19"/>
    </row>
    <row r="205" customFormat="false" ht="15" hidden="false" customHeight="false" outlineLevel="0" collapsed="false">
      <c r="A205" s="19"/>
      <c r="B205" s="19"/>
      <c r="C205" s="19"/>
      <c r="D205" s="20"/>
      <c r="E205" s="21"/>
      <c r="F205" s="22"/>
      <c r="G205" s="22"/>
      <c r="H205" s="21"/>
      <c r="I205" s="23" t="str">
        <f aca="false">IF($D205="","",IFERROR(INDEX(モデル一覧!$D:$D,MATCH($D205,モデル一覧!$A:$A,0)),"IDなし"))</f>
        <v/>
      </c>
      <c r="J205" s="23" t="str">
        <f aca="false">IF($D205="","",IFERROR(INDEX(モデル一覧!$E:$E,MATCH($D205,モデル一覧!$A:$A,0)),"IDなし"))</f>
        <v/>
      </c>
      <c r="K205" s="24" t="str">
        <f aca="false">IF($D205="","",IFERROR(IF(INDEX(モデル一覧!$L:$L,MATCH($D205,モデル一覧!$A:$A,0))="","",DATE(INDEX(モデル一覧!$K:$K,MATCH($D205,モデル一覧!$A:$A,0)),INDEX(モデル一覧!$L:$L,MATCH($D205,モデル一覧!$A:$A,0)),1)),""))</f>
        <v/>
      </c>
      <c r="L205" s="25" t="str">
        <f aca="false">IF(OR($F205="",$G205=""),"",(YEAR($F205)-YEAR($G205))*12+MONTH($F205)-MONTH($G205))</f>
        <v/>
      </c>
      <c r="M205" s="25" t="str">
        <f aca="false">IF(OR($F205="",$K205=""),"",(YEAR($F205)-YEAR($K205))*12+MONTH($F205)-MONTH($K205))</f>
        <v/>
      </c>
      <c r="N205" s="23" t="str">
        <f aca="false">IF($L205="","",IF(ABS($L205)&lt;=3,"整合",IF($L205&gt;3,"S&amp;P先行：SOP・生産国・世代を確認","ML先行：旧世代込み・先行登録を確認")))</f>
        <v/>
      </c>
      <c r="O205" s="22"/>
      <c r="P205" s="19"/>
    </row>
    <row r="206" customFormat="false" ht="15" hidden="false" customHeight="false" outlineLevel="0" collapsed="false">
      <c r="A206" s="19"/>
      <c r="B206" s="19"/>
      <c r="C206" s="19"/>
      <c r="D206" s="20"/>
      <c r="E206" s="21"/>
      <c r="F206" s="22"/>
      <c r="G206" s="22"/>
      <c r="H206" s="21"/>
      <c r="I206" s="23" t="str">
        <f aca="false">IF($D206="","",IFERROR(INDEX(モデル一覧!$D:$D,MATCH($D206,モデル一覧!$A:$A,0)),"IDなし"))</f>
        <v/>
      </c>
      <c r="J206" s="23" t="str">
        <f aca="false">IF($D206="","",IFERROR(INDEX(モデル一覧!$E:$E,MATCH($D206,モデル一覧!$A:$A,0)),"IDなし"))</f>
        <v/>
      </c>
      <c r="K206" s="24" t="str">
        <f aca="false">IF($D206="","",IFERROR(IF(INDEX(モデル一覧!$L:$L,MATCH($D206,モデル一覧!$A:$A,0))="","",DATE(INDEX(モデル一覧!$K:$K,MATCH($D206,モデル一覧!$A:$A,0)),INDEX(モデル一覧!$L:$L,MATCH($D206,モデル一覧!$A:$A,0)),1)),""))</f>
        <v/>
      </c>
      <c r="L206" s="25" t="str">
        <f aca="false">IF(OR($F206="",$G206=""),"",(YEAR($F206)-YEAR($G206))*12+MONTH($F206)-MONTH($G206))</f>
        <v/>
      </c>
      <c r="M206" s="25" t="str">
        <f aca="false">IF(OR($F206="",$K206=""),"",(YEAR($F206)-YEAR($K206))*12+MONTH($F206)-MONTH($K206))</f>
        <v/>
      </c>
      <c r="N206" s="23" t="str">
        <f aca="false">IF($L206="","",IF(ABS($L206)&lt;=3,"整合",IF($L206&gt;3,"S&amp;P先行：SOP・生産国・世代を確認","ML先行：旧世代込み・先行登録を確認")))</f>
        <v/>
      </c>
      <c r="O206" s="22"/>
      <c r="P206" s="19"/>
    </row>
    <row r="207" customFormat="false" ht="15" hidden="false" customHeight="false" outlineLevel="0" collapsed="false">
      <c r="A207" s="19"/>
      <c r="B207" s="19"/>
      <c r="C207" s="19"/>
      <c r="D207" s="20"/>
      <c r="E207" s="21"/>
      <c r="F207" s="22"/>
      <c r="G207" s="22"/>
      <c r="H207" s="21"/>
      <c r="I207" s="23" t="str">
        <f aca="false">IF($D207="","",IFERROR(INDEX(モデル一覧!$D:$D,MATCH($D207,モデル一覧!$A:$A,0)),"IDなし"))</f>
        <v/>
      </c>
      <c r="J207" s="23" t="str">
        <f aca="false">IF($D207="","",IFERROR(INDEX(モデル一覧!$E:$E,MATCH($D207,モデル一覧!$A:$A,0)),"IDなし"))</f>
        <v/>
      </c>
      <c r="K207" s="24" t="str">
        <f aca="false">IF($D207="","",IFERROR(IF(INDEX(モデル一覧!$L:$L,MATCH($D207,モデル一覧!$A:$A,0))="","",DATE(INDEX(モデル一覧!$K:$K,MATCH($D207,モデル一覧!$A:$A,0)),INDEX(モデル一覧!$L:$L,MATCH($D207,モデル一覧!$A:$A,0)),1)),""))</f>
        <v/>
      </c>
      <c r="L207" s="25" t="str">
        <f aca="false">IF(OR($F207="",$G207=""),"",(YEAR($F207)-YEAR($G207))*12+MONTH($F207)-MONTH($G207))</f>
        <v/>
      </c>
      <c r="M207" s="25" t="str">
        <f aca="false">IF(OR($F207="",$K207=""),"",(YEAR($F207)-YEAR($K207))*12+MONTH($F207)-MONTH($K207))</f>
        <v/>
      </c>
      <c r="N207" s="23" t="str">
        <f aca="false">IF($L207="","",IF(ABS($L207)&lt;=3,"整合",IF($L207&gt;3,"S&amp;P先行：SOP・生産国・世代を確認","ML先行：旧世代込み・先行登録を確認")))</f>
        <v/>
      </c>
      <c r="O207" s="22"/>
      <c r="P207" s="19"/>
    </row>
    <row r="208" customFormat="false" ht="15" hidden="false" customHeight="false" outlineLevel="0" collapsed="false">
      <c r="A208" s="19"/>
      <c r="B208" s="19"/>
      <c r="C208" s="19"/>
      <c r="D208" s="20"/>
      <c r="E208" s="21"/>
      <c r="F208" s="22"/>
      <c r="G208" s="22"/>
      <c r="H208" s="21"/>
      <c r="I208" s="23" t="str">
        <f aca="false">IF($D208="","",IFERROR(INDEX(モデル一覧!$D:$D,MATCH($D208,モデル一覧!$A:$A,0)),"IDなし"))</f>
        <v/>
      </c>
      <c r="J208" s="23" t="str">
        <f aca="false">IF($D208="","",IFERROR(INDEX(モデル一覧!$E:$E,MATCH($D208,モデル一覧!$A:$A,0)),"IDなし"))</f>
        <v/>
      </c>
      <c r="K208" s="24" t="str">
        <f aca="false">IF($D208="","",IFERROR(IF(INDEX(モデル一覧!$L:$L,MATCH($D208,モデル一覧!$A:$A,0))="","",DATE(INDEX(モデル一覧!$K:$K,MATCH($D208,モデル一覧!$A:$A,0)),INDEX(モデル一覧!$L:$L,MATCH($D208,モデル一覧!$A:$A,0)),1)),""))</f>
        <v/>
      </c>
      <c r="L208" s="25" t="str">
        <f aca="false">IF(OR($F208="",$G208=""),"",(YEAR($F208)-YEAR($G208))*12+MONTH($F208)-MONTH($G208))</f>
        <v/>
      </c>
      <c r="M208" s="25" t="str">
        <f aca="false">IF(OR($F208="",$K208=""),"",(YEAR($F208)-YEAR($K208))*12+MONTH($F208)-MONTH($K208))</f>
        <v/>
      </c>
      <c r="N208" s="23" t="str">
        <f aca="false">IF($L208="","",IF(ABS($L208)&lt;=3,"整合",IF($L208&gt;3,"S&amp;P先行：SOP・生産国・世代を確認","ML先行：旧世代込み・先行登録を確認")))</f>
        <v/>
      </c>
      <c r="O208" s="22"/>
      <c r="P208" s="19"/>
    </row>
    <row r="209" customFormat="false" ht="15" hidden="false" customHeight="false" outlineLevel="0" collapsed="false">
      <c r="A209" s="19"/>
      <c r="B209" s="19"/>
      <c r="C209" s="19"/>
      <c r="D209" s="20"/>
      <c r="E209" s="21"/>
      <c r="F209" s="22"/>
      <c r="G209" s="22"/>
      <c r="H209" s="21"/>
      <c r="I209" s="23" t="str">
        <f aca="false">IF($D209="","",IFERROR(INDEX(モデル一覧!$D:$D,MATCH($D209,モデル一覧!$A:$A,0)),"IDなし"))</f>
        <v/>
      </c>
      <c r="J209" s="23" t="str">
        <f aca="false">IF($D209="","",IFERROR(INDEX(モデル一覧!$E:$E,MATCH($D209,モデル一覧!$A:$A,0)),"IDなし"))</f>
        <v/>
      </c>
      <c r="K209" s="24" t="str">
        <f aca="false">IF($D209="","",IFERROR(IF(INDEX(モデル一覧!$L:$L,MATCH($D209,モデル一覧!$A:$A,0))="","",DATE(INDEX(モデル一覧!$K:$K,MATCH($D209,モデル一覧!$A:$A,0)),INDEX(モデル一覧!$L:$L,MATCH($D209,モデル一覧!$A:$A,0)),1)),""))</f>
        <v/>
      </c>
      <c r="L209" s="25" t="str">
        <f aca="false">IF(OR($F209="",$G209=""),"",(YEAR($F209)-YEAR($G209))*12+MONTH($F209)-MONTH($G209))</f>
        <v/>
      </c>
      <c r="M209" s="25" t="str">
        <f aca="false">IF(OR($F209="",$K209=""),"",(YEAR($F209)-YEAR($K209))*12+MONTH($F209)-MONTH($K209))</f>
        <v/>
      </c>
      <c r="N209" s="23" t="str">
        <f aca="false">IF($L209="","",IF(ABS($L209)&lt;=3,"整合",IF($L209&gt;3,"S&amp;P先行：SOP・生産国・世代を確認","ML先行：旧世代込み・先行登録を確認")))</f>
        <v/>
      </c>
      <c r="O209" s="22"/>
      <c r="P209" s="19"/>
    </row>
    <row r="210" customFormat="false" ht="15" hidden="false" customHeight="false" outlineLevel="0" collapsed="false">
      <c r="A210" s="19"/>
      <c r="B210" s="19"/>
      <c r="C210" s="19"/>
      <c r="D210" s="20"/>
      <c r="E210" s="21"/>
      <c r="F210" s="22"/>
      <c r="G210" s="22"/>
      <c r="H210" s="21"/>
      <c r="I210" s="23" t="str">
        <f aca="false">IF($D210="","",IFERROR(INDEX(モデル一覧!$D:$D,MATCH($D210,モデル一覧!$A:$A,0)),"IDなし"))</f>
        <v/>
      </c>
      <c r="J210" s="23" t="str">
        <f aca="false">IF($D210="","",IFERROR(INDEX(モデル一覧!$E:$E,MATCH($D210,モデル一覧!$A:$A,0)),"IDなし"))</f>
        <v/>
      </c>
      <c r="K210" s="24" t="str">
        <f aca="false">IF($D210="","",IFERROR(IF(INDEX(モデル一覧!$L:$L,MATCH($D210,モデル一覧!$A:$A,0))="","",DATE(INDEX(モデル一覧!$K:$K,MATCH($D210,モデル一覧!$A:$A,0)),INDEX(モデル一覧!$L:$L,MATCH($D210,モデル一覧!$A:$A,0)),1)),""))</f>
        <v/>
      </c>
      <c r="L210" s="25" t="str">
        <f aca="false">IF(OR($F210="",$G210=""),"",(YEAR($F210)-YEAR($G210))*12+MONTH($F210)-MONTH($G210))</f>
        <v/>
      </c>
      <c r="M210" s="25" t="str">
        <f aca="false">IF(OR($F210="",$K210=""),"",(YEAR($F210)-YEAR($K210))*12+MONTH($F210)-MONTH($K210))</f>
        <v/>
      </c>
      <c r="N210" s="23" t="str">
        <f aca="false">IF($L210="","",IF(ABS($L210)&lt;=3,"整合",IF($L210&gt;3,"S&amp;P先行：SOP・生産国・世代を確認","ML先行：旧世代込み・先行登録を確認")))</f>
        <v/>
      </c>
      <c r="O210" s="22"/>
      <c r="P210" s="19"/>
    </row>
    <row r="211" customFormat="false" ht="15" hidden="false" customHeight="false" outlineLevel="0" collapsed="false">
      <c r="A211" s="19"/>
      <c r="B211" s="19"/>
      <c r="C211" s="19"/>
      <c r="D211" s="20"/>
      <c r="E211" s="21"/>
      <c r="F211" s="22"/>
      <c r="G211" s="22"/>
      <c r="H211" s="21"/>
      <c r="I211" s="23" t="str">
        <f aca="false">IF($D211="","",IFERROR(INDEX(モデル一覧!$D:$D,MATCH($D211,モデル一覧!$A:$A,0)),"IDなし"))</f>
        <v/>
      </c>
      <c r="J211" s="23" t="str">
        <f aca="false">IF($D211="","",IFERROR(INDEX(モデル一覧!$E:$E,MATCH($D211,モデル一覧!$A:$A,0)),"IDなし"))</f>
        <v/>
      </c>
      <c r="K211" s="24" t="str">
        <f aca="false">IF($D211="","",IFERROR(IF(INDEX(モデル一覧!$L:$L,MATCH($D211,モデル一覧!$A:$A,0))="","",DATE(INDEX(モデル一覧!$K:$K,MATCH($D211,モデル一覧!$A:$A,0)),INDEX(モデル一覧!$L:$L,MATCH($D211,モデル一覧!$A:$A,0)),1)),""))</f>
        <v/>
      </c>
      <c r="L211" s="25" t="str">
        <f aca="false">IF(OR($F211="",$G211=""),"",(YEAR($F211)-YEAR($G211))*12+MONTH($F211)-MONTH($G211))</f>
        <v/>
      </c>
      <c r="M211" s="25" t="str">
        <f aca="false">IF(OR($F211="",$K211=""),"",(YEAR($F211)-YEAR($K211))*12+MONTH($F211)-MONTH($K211))</f>
        <v/>
      </c>
      <c r="N211" s="23" t="str">
        <f aca="false">IF($L211="","",IF(ABS($L211)&lt;=3,"整合",IF($L211&gt;3,"S&amp;P先行：SOP・生産国・世代を確認","ML先行：旧世代込み・先行登録を確認")))</f>
        <v/>
      </c>
      <c r="O211" s="22"/>
      <c r="P211" s="19"/>
    </row>
    <row r="212" customFormat="false" ht="15" hidden="false" customHeight="false" outlineLevel="0" collapsed="false">
      <c r="A212" s="19"/>
      <c r="B212" s="19"/>
      <c r="C212" s="19"/>
      <c r="D212" s="20"/>
      <c r="E212" s="21"/>
      <c r="F212" s="22"/>
      <c r="G212" s="22"/>
      <c r="H212" s="21"/>
      <c r="I212" s="23" t="str">
        <f aca="false">IF($D212="","",IFERROR(INDEX(モデル一覧!$D:$D,MATCH($D212,モデル一覧!$A:$A,0)),"IDなし"))</f>
        <v/>
      </c>
      <c r="J212" s="23" t="str">
        <f aca="false">IF($D212="","",IFERROR(INDEX(モデル一覧!$E:$E,MATCH($D212,モデル一覧!$A:$A,0)),"IDなし"))</f>
        <v/>
      </c>
      <c r="K212" s="24" t="str">
        <f aca="false">IF($D212="","",IFERROR(IF(INDEX(モデル一覧!$L:$L,MATCH($D212,モデル一覧!$A:$A,0))="","",DATE(INDEX(モデル一覧!$K:$K,MATCH($D212,モデル一覧!$A:$A,0)),INDEX(モデル一覧!$L:$L,MATCH($D212,モデル一覧!$A:$A,0)),1)),""))</f>
        <v/>
      </c>
      <c r="L212" s="25" t="str">
        <f aca="false">IF(OR($F212="",$G212=""),"",(YEAR($F212)-YEAR($G212))*12+MONTH($F212)-MONTH($G212))</f>
        <v/>
      </c>
      <c r="M212" s="25" t="str">
        <f aca="false">IF(OR($F212="",$K212=""),"",(YEAR($F212)-YEAR($K212))*12+MONTH($F212)-MONTH($K212))</f>
        <v/>
      </c>
      <c r="N212" s="23" t="str">
        <f aca="false">IF($L212="","",IF(ABS($L212)&lt;=3,"整合",IF($L212&gt;3,"S&amp;P先行：SOP・生産国・世代を確認","ML先行：旧世代込み・先行登録を確認")))</f>
        <v/>
      </c>
      <c r="O212" s="22"/>
      <c r="P212" s="19"/>
    </row>
    <row r="213" customFormat="false" ht="15" hidden="false" customHeight="false" outlineLevel="0" collapsed="false">
      <c r="A213" s="19"/>
      <c r="B213" s="19"/>
      <c r="C213" s="19"/>
      <c r="D213" s="20"/>
      <c r="E213" s="21"/>
      <c r="F213" s="22"/>
      <c r="G213" s="22"/>
      <c r="H213" s="21"/>
      <c r="I213" s="23" t="str">
        <f aca="false">IF($D213="","",IFERROR(INDEX(モデル一覧!$D:$D,MATCH($D213,モデル一覧!$A:$A,0)),"IDなし"))</f>
        <v/>
      </c>
      <c r="J213" s="23" t="str">
        <f aca="false">IF($D213="","",IFERROR(INDEX(モデル一覧!$E:$E,MATCH($D213,モデル一覧!$A:$A,0)),"IDなし"))</f>
        <v/>
      </c>
      <c r="K213" s="24" t="str">
        <f aca="false">IF($D213="","",IFERROR(IF(INDEX(モデル一覧!$L:$L,MATCH($D213,モデル一覧!$A:$A,0))="","",DATE(INDEX(モデル一覧!$K:$K,MATCH($D213,モデル一覧!$A:$A,0)),INDEX(モデル一覧!$L:$L,MATCH($D213,モデル一覧!$A:$A,0)),1)),""))</f>
        <v/>
      </c>
      <c r="L213" s="25" t="str">
        <f aca="false">IF(OR($F213="",$G213=""),"",(YEAR($F213)-YEAR($G213))*12+MONTH($F213)-MONTH($G213))</f>
        <v/>
      </c>
      <c r="M213" s="25" t="str">
        <f aca="false">IF(OR($F213="",$K213=""),"",(YEAR($F213)-YEAR($K213))*12+MONTH($F213)-MONTH($K213))</f>
        <v/>
      </c>
      <c r="N213" s="23" t="str">
        <f aca="false">IF($L213="","",IF(ABS($L213)&lt;=3,"整合",IF($L213&gt;3,"S&amp;P先行：SOP・生産国・世代を確認","ML先行：旧世代込み・先行登録を確認")))</f>
        <v/>
      </c>
      <c r="O213" s="22"/>
      <c r="P213" s="19"/>
    </row>
    <row r="214" customFormat="false" ht="15" hidden="false" customHeight="false" outlineLevel="0" collapsed="false">
      <c r="A214" s="19"/>
      <c r="B214" s="19"/>
      <c r="C214" s="19"/>
      <c r="D214" s="20"/>
      <c r="E214" s="21"/>
      <c r="F214" s="22"/>
      <c r="G214" s="22"/>
      <c r="H214" s="21"/>
      <c r="I214" s="23" t="str">
        <f aca="false">IF($D214="","",IFERROR(INDEX(モデル一覧!$D:$D,MATCH($D214,モデル一覧!$A:$A,0)),"IDなし"))</f>
        <v/>
      </c>
      <c r="J214" s="23" t="str">
        <f aca="false">IF($D214="","",IFERROR(INDEX(モデル一覧!$E:$E,MATCH($D214,モデル一覧!$A:$A,0)),"IDなし"))</f>
        <v/>
      </c>
      <c r="K214" s="24" t="str">
        <f aca="false">IF($D214="","",IFERROR(IF(INDEX(モデル一覧!$L:$L,MATCH($D214,モデル一覧!$A:$A,0))="","",DATE(INDEX(モデル一覧!$K:$K,MATCH($D214,モデル一覧!$A:$A,0)),INDEX(モデル一覧!$L:$L,MATCH($D214,モデル一覧!$A:$A,0)),1)),""))</f>
        <v/>
      </c>
      <c r="L214" s="25" t="str">
        <f aca="false">IF(OR($F214="",$G214=""),"",(YEAR($F214)-YEAR($G214))*12+MONTH($F214)-MONTH($G214))</f>
        <v/>
      </c>
      <c r="M214" s="25" t="str">
        <f aca="false">IF(OR($F214="",$K214=""),"",(YEAR($F214)-YEAR($K214))*12+MONTH($F214)-MONTH($K214))</f>
        <v/>
      </c>
      <c r="N214" s="23" t="str">
        <f aca="false">IF($L214="","",IF(ABS($L214)&lt;=3,"整合",IF($L214&gt;3,"S&amp;P先行：SOP・生産国・世代を確認","ML先行：旧世代込み・先行登録を確認")))</f>
        <v/>
      </c>
      <c r="O214" s="22"/>
      <c r="P214" s="19"/>
    </row>
    <row r="215" customFormat="false" ht="15" hidden="false" customHeight="false" outlineLevel="0" collapsed="false">
      <c r="A215" s="19"/>
      <c r="B215" s="19"/>
      <c r="C215" s="19"/>
      <c r="D215" s="20"/>
      <c r="E215" s="21"/>
      <c r="F215" s="22"/>
      <c r="G215" s="22"/>
      <c r="H215" s="21"/>
      <c r="I215" s="23" t="str">
        <f aca="false">IF($D215="","",IFERROR(INDEX(モデル一覧!$D:$D,MATCH($D215,モデル一覧!$A:$A,0)),"IDなし"))</f>
        <v/>
      </c>
      <c r="J215" s="23" t="str">
        <f aca="false">IF($D215="","",IFERROR(INDEX(モデル一覧!$E:$E,MATCH($D215,モデル一覧!$A:$A,0)),"IDなし"))</f>
        <v/>
      </c>
      <c r="K215" s="24" t="str">
        <f aca="false">IF($D215="","",IFERROR(IF(INDEX(モデル一覧!$L:$L,MATCH($D215,モデル一覧!$A:$A,0))="","",DATE(INDEX(モデル一覧!$K:$K,MATCH($D215,モデル一覧!$A:$A,0)),INDEX(モデル一覧!$L:$L,MATCH($D215,モデル一覧!$A:$A,0)),1)),""))</f>
        <v/>
      </c>
      <c r="L215" s="25" t="str">
        <f aca="false">IF(OR($F215="",$G215=""),"",(YEAR($F215)-YEAR($G215))*12+MONTH($F215)-MONTH($G215))</f>
        <v/>
      </c>
      <c r="M215" s="25" t="str">
        <f aca="false">IF(OR($F215="",$K215=""),"",(YEAR($F215)-YEAR($K215))*12+MONTH($F215)-MONTH($K215))</f>
        <v/>
      </c>
      <c r="N215" s="23" t="str">
        <f aca="false">IF($L215="","",IF(ABS($L215)&lt;=3,"整合",IF($L215&gt;3,"S&amp;P先行：SOP・生産国・世代を確認","ML先行：旧世代込み・先行登録を確認")))</f>
        <v/>
      </c>
      <c r="O215" s="22"/>
      <c r="P215" s="19"/>
    </row>
    <row r="216" customFormat="false" ht="15" hidden="false" customHeight="false" outlineLevel="0" collapsed="false">
      <c r="A216" s="19"/>
      <c r="B216" s="19"/>
      <c r="C216" s="19"/>
      <c r="D216" s="20"/>
      <c r="E216" s="21"/>
      <c r="F216" s="22"/>
      <c r="G216" s="22"/>
      <c r="H216" s="21"/>
      <c r="I216" s="23" t="str">
        <f aca="false">IF($D216="","",IFERROR(INDEX(モデル一覧!$D:$D,MATCH($D216,モデル一覧!$A:$A,0)),"IDなし"))</f>
        <v/>
      </c>
      <c r="J216" s="23" t="str">
        <f aca="false">IF($D216="","",IFERROR(INDEX(モデル一覧!$E:$E,MATCH($D216,モデル一覧!$A:$A,0)),"IDなし"))</f>
        <v/>
      </c>
      <c r="K216" s="24" t="str">
        <f aca="false">IF($D216="","",IFERROR(IF(INDEX(モデル一覧!$L:$L,MATCH($D216,モデル一覧!$A:$A,0))="","",DATE(INDEX(モデル一覧!$K:$K,MATCH($D216,モデル一覧!$A:$A,0)),INDEX(モデル一覧!$L:$L,MATCH($D216,モデル一覧!$A:$A,0)),1)),""))</f>
        <v/>
      </c>
      <c r="L216" s="25" t="str">
        <f aca="false">IF(OR($F216="",$G216=""),"",(YEAR($F216)-YEAR($G216))*12+MONTH($F216)-MONTH($G216))</f>
        <v/>
      </c>
      <c r="M216" s="25" t="str">
        <f aca="false">IF(OR($F216="",$K216=""),"",(YEAR($F216)-YEAR($K216))*12+MONTH($F216)-MONTH($K216))</f>
        <v/>
      </c>
      <c r="N216" s="23" t="str">
        <f aca="false">IF($L216="","",IF(ABS($L216)&lt;=3,"整合",IF($L216&gt;3,"S&amp;P先行：SOP・生産国・世代を確認","ML先行：旧世代込み・先行登録を確認")))</f>
        <v/>
      </c>
      <c r="O216" s="22"/>
      <c r="P216" s="19"/>
    </row>
    <row r="217" customFormat="false" ht="15" hidden="false" customHeight="false" outlineLevel="0" collapsed="false">
      <c r="A217" s="19"/>
      <c r="B217" s="19"/>
      <c r="C217" s="19"/>
      <c r="D217" s="20"/>
      <c r="E217" s="21"/>
      <c r="F217" s="22"/>
      <c r="G217" s="22"/>
      <c r="H217" s="21"/>
      <c r="I217" s="23" t="str">
        <f aca="false">IF($D217="","",IFERROR(INDEX(モデル一覧!$D:$D,MATCH($D217,モデル一覧!$A:$A,0)),"IDなし"))</f>
        <v/>
      </c>
      <c r="J217" s="23" t="str">
        <f aca="false">IF($D217="","",IFERROR(INDEX(モデル一覧!$E:$E,MATCH($D217,モデル一覧!$A:$A,0)),"IDなし"))</f>
        <v/>
      </c>
      <c r="K217" s="24" t="str">
        <f aca="false">IF($D217="","",IFERROR(IF(INDEX(モデル一覧!$L:$L,MATCH($D217,モデル一覧!$A:$A,0))="","",DATE(INDEX(モデル一覧!$K:$K,MATCH($D217,モデル一覧!$A:$A,0)),INDEX(モデル一覧!$L:$L,MATCH($D217,モデル一覧!$A:$A,0)),1)),""))</f>
        <v/>
      </c>
      <c r="L217" s="25" t="str">
        <f aca="false">IF(OR($F217="",$G217=""),"",(YEAR($F217)-YEAR($G217))*12+MONTH($F217)-MONTH($G217))</f>
        <v/>
      </c>
      <c r="M217" s="25" t="str">
        <f aca="false">IF(OR($F217="",$K217=""),"",(YEAR($F217)-YEAR($K217))*12+MONTH($F217)-MONTH($K217))</f>
        <v/>
      </c>
      <c r="N217" s="23" t="str">
        <f aca="false">IF($L217="","",IF(ABS($L217)&lt;=3,"整合",IF($L217&gt;3,"S&amp;P先行：SOP・生産国・世代を確認","ML先行：旧世代込み・先行登録を確認")))</f>
        <v/>
      </c>
      <c r="O217" s="22"/>
      <c r="P217" s="19"/>
    </row>
    <row r="218" customFormat="false" ht="15" hidden="false" customHeight="false" outlineLevel="0" collapsed="false">
      <c r="A218" s="19"/>
      <c r="B218" s="19"/>
      <c r="C218" s="19"/>
      <c r="D218" s="20"/>
      <c r="E218" s="21"/>
      <c r="F218" s="22"/>
      <c r="G218" s="22"/>
      <c r="H218" s="21"/>
      <c r="I218" s="23" t="str">
        <f aca="false">IF($D218="","",IFERROR(INDEX(モデル一覧!$D:$D,MATCH($D218,モデル一覧!$A:$A,0)),"IDなし"))</f>
        <v/>
      </c>
      <c r="J218" s="23" t="str">
        <f aca="false">IF($D218="","",IFERROR(INDEX(モデル一覧!$E:$E,MATCH($D218,モデル一覧!$A:$A,0)),"IDなし"))</f>
        <v/>
      </c>
      <c r="K218" s="24" t="str">
        <f aca="false">IF($D218="","",IFERROR(IF(INDEX(モデル一覧!$L:$L,MATCH($D218,モデル一覧!$A:$A,0))="","",DATE(INDEX(モデル一覧!$K:$K,MATCH($D218,モデル一覧!$A:$A,0)),INDEX(モデル一覧!$L:$L,MATCH($D218,モデル一覧!$A:$A,0)),1)),""))</f>
        <v/>
      </c>
      <c r="L218" s="25" t="str">
        <f aca="false">IF(OR($F218="",$G218=""),"",(YEAR($F218)-YEAR($G218))*12+MONTH($F218)-MONTH($G218))</f>
        <v/>
      </c>
      <c r="M218" s="25" t="str">
        <f aca="false">IF(OR($F218="",$K218=""),"",(YEAR($F218)-YEAR($K218))*12+MONTH($F218)-MONTH($K218))</f>
        <v/>
      </c>
      <c r="N218" s="23" t="str">
        <f aca="false">IF($L218="","",IF(ABS($L218)&lt;=3,"整合",IF($L218&gt;3,"S&amp;P先行：SOP・生産国・世代を確認","ML先行：旧世代込み・先行登録を確認")))</f>
        <v/>
      </c>
      <c r="O218" s="22"/>
      <c r="P218" s="19"/>
    </row>
    <row r="219" customFormat="false" ht="15" hidden="false" customHeight="false" outlineLevel="0" collapsed="false">
      <c r="A219" s="19"/>
      <c r="B219" s="19"/>
      <c r="C219" s="19"/>
      <c r="D219" s="20"/>
      <c r="E219" s="21"/>
      <c r="F219" s="22"/>
      <c r="G219" s="22"/>
      <c r="H219" s="21"/>
      <c r="I219" s="23" t="str">
        <f aca="false">IF($D219="","",IFERROR(INDEX(モデル一覧!$D:$D,MATCH($D219,モデル一覧!$A:$A,0)),"IDなし"))</f>
        <v/>
      </c>
      <c r="J219" s="23" t="str">
        <f aca="false">IF($D219="","",IFERROR(INDEX(モデル一覧!$E:$E,MATCH($D219,モデル一覧!$A:$A,0)),"IDなし"))</f>
        <v/>
      </c>
      <c r="K219" s="24" t="str">
        <f aca="false">IF($D219="","",IFERROR(IF(INDEX(モデル一覧!$L:$L,MATCH($D219,モデル一覧!$A:$A,0))="","",DATE(INDEX(モデル一覧!$K:$K,MATCH($D219,モデル一覧!$A:$A,0)),INDEX(モデル一覧!$L:$L,MATCH($D219,モデル一覧!$A:$A,0)),1)),""))</f>
        <v/>
      </c>
      <c r="L219" s="25" t="str">
        <f aca="false">IF(OR($F219="",$G219=""),"",(YEAR($F219)-YEAR($G219))*12+MONTH($F219)-MONTH($G219))</f>
        <v/>
      </c>
      <c r="M219" s="25" t="str">
        <f aca="false">IF(OR($F219="",$K219=""),"",(YEAR($F219)-YEAR($K219))*12+MONTH($F219)-MONTH($K219))</f>
        <v/>
      </c>
      <c r="N219" s="23" t="str">
        <f aca="false">IF($L219="","",IF(ABS($L219)&lt;=3,"整合",IF($L219&gt;3,"S&amp;P先行：SOP・生産国・世代を確認","ML先行：旧世代込み・先行登録を確認")))</f>
        <v/>
      </c>
      <c r="O219" s="22"/>
      <c r="P219" s="19"/>
    </row>
    <row r="220" customFormat="false" ht="15" hidden="false" customHeight="false" outlineLevel="0" collapsed="false">
      <c r="A220" s="19"/>
      <c r="B220" s="19"/>
      <c r="C220" s="19"/>
      <c r="D220" s="20"/>
      <c r="E220" s="21"/>
      <c r="F220" s="22"/>
      <c r="G220" s="22"/>
      <c r="H220" s="21"/>
      <c r="I220" s="23" t="str">
        <f aca="false">IF($D220="","",IFERROR(INDEX(モデル一覧!$D:$D,MATCH($D220,モデル一覧!$A:$A,0)),"IDなし"))</f>
        <v/>
      </c>
      <c r="J220" s="23" t="str">
        <f aca="false">IF($D220="","",IFERROR(INDEX(モデル一覧!$E:$E,MATCH($D220,モデル一覧!$A:$A,0)),"IDなし"))</f>
        <v/>
      </c>
      <c r="K220" s="24" t="str">
        <f aca="false">IF($D220="","",IFERROR(IF(INDEX(モデル一覧!$L:$L,MATCH($D220,モデル一覧!$A:$A,0))="","",DATE(INDEX(モデル一覧!$K:$K,MATCH($D220,モデル一覧!$A:$A,0)),INDEX(モデル一覧!$L:$L,MATCH($D220,モデル一覧!$A:$A,0)),1)),""))</f>
        <v/>
      </c>
      <c r="L220" s="25" t="str">
        <f aca="false">IF(OR($F220="",$G220=""),"",(YEAR($F220)-YEAR($G220))*12+MONTH($F220)-MONTH($G220))</f>
        <v/>
      </c>
      <c r="M220" s="25" t="str">
        <f aca="false">IF(OR($F220="",$K220=""),"",(YEAR($F220)-YEAR($K220))*12+MONTH($F220)-MONTH($K220))</f>
        <v/>
      </c>
      <c r="N220" s="23" t="str">
        <f aca="false">IF($L220="","",IF(ABS($L220)&lt;=3,"整合",IF($L220&gt;3,"S&amp;P先行：SOP・生産国・世代を確認","ML先行：旧世代込み・先行登録を確認")))</f>
        <v/>
      </c>
      <c r="O220" s="22"/>
      <c r="P220" s="19"/>
    </row>
    <row r="221" customFormat="false" ht="15" hidden="false" customHeight="false" outlineLevel="0" collapsed="false">
      <c r="A221" s="19"/>
      <c r="B221" s="19"/>
      <c r="C221" s="19"/>
      <c r="D221" s="20"/>
      <c r="E221" s="21"/>
      <c r="F221" s="22"/>
      <c r="G221" s="22"/>
      <c r="H221" s="21"/>
      <c r="I221" s="23" t="str">
        <f aca="false">IF($D221="","",IFERROR(INDEX(モデル一覧!$D:$D,MATCH($D221,モデル一覧!$A:$A,0)),"IDなし"))</f>
        <v/>
      </c>
      <c r="J221" s="23" t="str">
        <f aca="false">IF($D221="","",IFERROR(INDEX(モデル一覧!$E:$E,MATCH($D221,モデル一覧!$A:$A,0)),"IDなし"))</f>
        <v/>
      </c>
      <c r="K221" s="24" t="str">
        <f aca="false">IF($D221="","",IFERROR(IF(INDEX(モデル一覧!$L:$L,MATCH($D221,モデル一覧!$A:$A,0))="","",DATE(INDEX(モデル一覧!$K:$K,MATCH($D221,モデル一覧!$A:$A,0)),INDEX(モデル一覧!$L:$L,MATCH($D221,モデル一覧!$A:$A,0)),1)),""))</f>
        <v/>
      </c>
      <c r="L221" s="25" t="str">
        <f aca="false">IF(OR($F221="",$G221=""),"",(YEAR($F221)-YEAR($G221))*12+MONTH($F221)-MONTH($G221))</f>
        <v/>
      </c>
      <c r="M221" s="25" t="str">
        <f aca="false">IF(OR($F221="",$K221=""),"",(YEAR($F221)-YEAR($K221))*12+MONTH($F221)-MONTH($K221))</f>
        <v/>
      </c>
      <c r="N221" s="23" t="str">
        <f aca="false">IF($L221="","",IF(ABS($L221)&lt;=3,"整合",IF($L221&gt;3,"S&amp;P先行：SOP・生産国・世代を確認","ML先行：旧世代込み・先行登録を確認")))</f>
        <v/>
      </c>
      <c r="O221" s="22"/>
      <c r="P221" s="19"/>
    </row>
    <row r="222" customFormat="false" ht="15" hidden="false" customHeight="false" outlineLevel="0" collapsed="false">
      <c r="A222" s="19"/>
      <c r="B222" s="19"/>
      <c r="C222" s="19"/>
      <c r="D222" s="20"/>
      <c r="E222" s="21"/>
      <c r="F222" s="22"/>
      <c r="G222" s="22"/>
      <c r="H222" s="21"/>
      <c r="I222" s="23" t="str">
        <f aca="false">IF($D222="","",IFERROR(INDEX(モデル一覧!$D:$D,MATCH($D222,モデル一覧!$A:$A,0)),"IDなし"))</f>
        <v/>
      </c>
      <c r="J222" s="23" t="str">
        <f aca="false">IF($D222="","",IFERROR(INDEX(モデル一覧!$E:$E,MATCH($D222,モデル一覧!$A:$A,0)),"IDなし"))</f>
        <v/>
      </c>
      <c r="K222" s="24" t="str">
        <f aca="false">IF($D222="","",IFERROR(IF(INDEX(モデル一覧!$L:$L,MATCH($D222,モデル一覧!$A:$A,0))="","",DATE(INDEX(モデル一覧!$K:$K,MATCH($D222,モデル一覧!$A:$A,0)),INDEX(モデル一覧!$L:$L,MATCH($D222,モデル一覧!$A:$A,0)),1)),""))</f>
        <v/>
      </c>
      <c r="L222" s="25" t="str">
        <f aca="false">IF(OR($F222="",$G222=""),"",(YEAR($F222)-YEAR($G222))*12+MONTH($F222)-MONTH($G222))</f>
        <v/>
      </c>
      <c r="M222" s="25" t="str">
        <f aca="false">IF(OR($F222="",$K222=""),"",(YEAR($F222)-YEAR($K222))*12+MONTH($F222)-MONTH($K222))</f>
        <v/>
      </c>
      <c r="N222" s="23" t="str">
        <f aca="false">IF($L222="","",IF(ABS($L222)&lt;=3,"整合",IF($L222&gt;3,"S&amp;P先行：SOP・生産国・世代を確認","ML先行：旧世代込み・先行登録を確認")))</f>
        <v/>
      </c>
      <c r="O222" s="22"/>
      <c r="P222" s="19"/>
    </row>
    <row r="223" customFormat="false" ht="15" hidden="false" customHeight="false" outlineLevel="0" collapsed="false">
      <c r="A223" s="19"/>
      <c r="B223" s="19"/>
      <c r="C223" s="19"/>
      <c r="D223" s="20"/>
      <c r="E223" s="21"/>
      <c r="F223" s="22"/>
      <c r="G223" s="22"/>
      <c r="H223" s="21"/>
      <c r="I223" s="23" t="str">
        <f aca="false">IF($D223="","",IFERROR(INDEX(モデル一覧!$D:$D,MATCH($D223,モデル一覧!$A:$A,0)),"IDなし"))</f>
        <v/>
      </c>
      <c r="J223" s="23" t="str">
        <f aca="false">IF($D223="","",IFERROR(INDEX(モデル一覧!$E:$E,MATCH($D223,モデル一覧!$A:$A,0)),"IDなし"))</f>
        <v/>
      </c>
      <c r="K223" s="24" t="str">
        <f aca="false">IF($D223="","",IFERROR(IF(INDEX(モデル一覧!$L:$L,MATCH($D223,モデル一覧!$A:$A,0))="","",DATE(INDEX(モデル一覧!$K:$K,MATCH($D223,モデル一覧!$A:$A,0)),INDEX(モデル一覧!$L:$L,MATCH($D223,モデル一覧!$A:$A,0)),1)),""))</f>
        <v/>
      </c>
      <c r="L223" s="25" t="str">
        <f aca="false">IF(OR($F223="",$G223=""),"",(YEAR($F223)-YEAR($G223))*12+MONTH($F223)-MONTH($G223))</f>
        <v/>
      </c>
      <c r="M223" s="25" t="str">
        <f aca="false">IF(OR($F223="",$K223=""),"",(YEAR($F223)-YEAR($K223))*12+MONTH($F223)-MONTH($K223))</f>
        <v/>
      </c>
      <c r="N223" s="23" t="str">
        <f aca="false">IF($L223="","",IF(ABS($L223)&lt;=3,"整合",IF($L223&gt;3,"S&amp;P先行：SOP・生産国・世代を確認","ML先行：旧世代込み・先行登録を確認")))</f>
        <v/>
      </c>
      <c r="O223" s="22"/>
      <c r="P223" s="19"/>
    </row>
    <row r="224" customFormat="false" ht="15" hidden="false" customHeight="false" outlineLevel="0" collapsed="false">
      <c r="A224" s="19"/>
      <c r="B224" s="19"/>
      <c r="C224" s="19"/>
      <c r="D224" s="20"/>
      <c r="E224" s="21"/>
      <c r="F224" s="22"/>
      <c r="G224" s="22"/>
      <c r="H224" s="21"/>
      <c r="I224" s="23" t="str">
        <f aca="false">IF($D224="","",IFERROR(INDEX(モデル一覧!$D:$D,MATCH($D224,モデル一覧!$A:$A,0)),"IDなし"))</f>
        <v/>
      </c>
      <c r="J224" s="23" t="str">
        <f aca="false">IF($D224="","",IFERROR(INDEX(モデル一覧!$E:$E,MATCH($D224,モデル一覧!$A:$A,0)),"IDなし"))</f>
        <v/>
      </c>
      <c r="K224" s="24" t="str">
        <f aca="false">IF($D224="","",IFERROR(IF(INDEX(モデル一覧!$L:$L,MATCH($D224,モデル一覧!$A:$A,0))="","",DATE(INDEX(モデル一覧!$K:$K,MATCH($D224,モデル一覧!$A:$A,0)),INDEX(モデル一覧!$L:$L,MATCH($D224,モデル一覧!$A:$A,0)),1)),""))</f>
        <v/>
      </c>
      <c r="L224" s="25" t="str">
        <f aca="false">IF(OR($F224="",$G224=""),"",(YEAR($F224)-YEAR($G224))*12+MONTH($F224)-MONTH($G224))</f>
        <v/>
      </c>
      <c r="M224" s="25" t="str">
        <f aca="false">IF(OR($F224="",$K224=""),"",(YEAR($F224)-YEAR($K224))*12+MONTH($F224)-MONTH($K224))</f>
        <v/>
      </c>
      <c r="N224" s="23" t="str">
        <f aca="false">IF($L224="","",IF(ABS($L224)&lt;=3,"整合",IF($L224&gt;3,"S&amp;P先行：SOP・生産国・世代を確認","ML先行：旧世代込み・先行登録を確認")))</f>
        <v/>
      </c>
      <c r="O224" s="22"/>
      <c r="P224" s="19"/>
    </row>
    <row r="225" customFormat="false" ht="15" hidden="false" customHeight="false" outlineLevel="0" collapsed="false">
      <c r="A225" s="19"/>
      <c r="B225" s="19"/>
      <c r="C225" s="19"/>
      <c r="D225" s="20"/>
      <c r="E225" s="21"/>
      <c r="F225" s="22"/>
      <c r="G225" s="22"/>
      <c r="H225" s="21"/>
      <c r="I225" s="23" t="str">
        <f aca="false">IF($D225="","",IFERROR(INDEX(モデル一覧!$D:$D,MATCH($D225,モデル一覧!$A:$A,0)),"IDなし"))</f>
        <v/>
      </c>
      <c r="J225" s="23" t="str">
        <f aca="false">IF($D225="","",IFERROR(INDEX(モデル一覧!$E:$E,MATCH($D225,モデル一覧!$A:$A,0)),"IDなし"))</f>
        <v/>
      </c>
      <c r="K225" s="24" t="str">
        <f aca="false">IF($D225="","",IFERROR(IF(INDEX(モデル一覧!$L:$L,MATCH($D225,モデル一覧!$A:$A,0))="","",DATE(INDEX(モデル一覧!$K:$K,MATCH($D225,モデル一覧!$A:$A,0)),INDEX(モデル一覧!$L:$L,MATCH($D225,モデル一覧!$A:$A,0)),1)),""))</f>
        <v/>
      </c>
      <c r="L225" s="25" t="str">
        <f aca="false">IF(OR($F225="",$G225=""),"",(YEAR($F225)-YEAR($G225))*12+MONTH($F225)-MONTH($G225))</f>
        <v/>
      </c>
      <c r="M225" s="25" t="str">
        <f aca="false">IF(OR($F225="",$K225=""),"",(YEAR($F225)-YEAR($K225))*12+MONTH($F225)-MONTH($K225))</f>
        <v/>
      </c>
      <c r="N225" s="23" t="str">
        <f aca="false">IF($L225="","",IF(ABS($L225)&lt;=3,"整合",IF($L225&gt;3,"S&amp;P先行：SOP・生産国・世代を確認","ML先行：旧世代込み・先行登録を確認")))</f>
        <v/>
      </c>
      <c r="O225" s="22"/>
      <c r="P225" s="19"/>
    </row>
    <row r="226" customFormat="false" ht="15" hidden="false" customHeight="false" outlineLevel="0" collapsed="false">
      <c r="A226" s="19"/>
      <c r="B226" s="19"/>
      <c r="C226" s="19"/>
      <c r="D226" s="20"/>
      <c r="E226" s="21"/>
      <c r="F226" s="22"/>
      <c r="G226" s="22"/>
      <c r="H226" s="21"/>
      <c r="I226" s="23" t="str">
        <f aca="false">IF($D226="","",IFERROR(INDEX(モデル一覧!$D:$D,MATCH($D226,モデル一覧!$A:$A,0)),"IDなし"))</f>
        <v/>
      </c>
      <c r="J226" s="23" t="str">
        <f aca="false">IF($D226="","",IFERROR(INDEX(モデル一覧!$E:$E,MATCH($D226,モデル一覧!$A:$A,0)),"IDなし"))</f>
        <v/>
      </c>
      <c r="K226" s="24" t="str">
        <f aca="false">IF($D226="","",IFERROR(IF(INDEX(モデル一覧!$L:$L,MATCH($D226,モデル一覧!$A:$A,0))="","",DATE(INDEX(モデル一覧!$K:$K,MATCH($D226,モデル一覧!$A:$A,0)),INDEX(モデル一覧!$L:$L,MATCH($D226,モデル一覧!$A:$A,0)),1)),""))</f>
        <v/>
      </c>
      <c r="L226" s="25" t="str">
        <f aca="false">IF(OR($F226="",$G226=""),"",(YEAR($F226)-YEAR($G226))*12+MONTH($F226)-MONTH($G226))</f>
        <v/>
      </c>
      <c r="M226" s="25" t="str">
        <f aca="false">IF(OR($F226="",$K226=""),"",(YEAR($F226)-YEAR($K226))*12+MONTH($F226)-MONTH($K226))</f>
        <v/>
      </c>
      <c r="N226" s="23" t="str">
        <f aca="false">IF($L226="","",IF(ABS($L226)&lt;=3,"整合",IF($L226&gt;3,"S&amp;P先行：SOP・生産国・世代を確認","ML先行：旧世代込み・先行登録を確認")))</f>
        <v/>
      </c>
      <c r="O226" s="22"/>
      <c r="P226" s="19"/>
    </row>
    <row r="227" customFormat="false" ht="15" hidden="false" customHeight="false" outlineLevel="0" collapsed="false">
      <c r="A227" s="19"/>
      <c r="B227" s="19"/>
      <c r="C227" s="19"/>
      <c r="D227" s="20"/>
      <c r="E227" s="21"/>
      <c r="F227" s="22"/>
      <c r="G227" s="22"/>
      <c r="H227" s="21"/>
      <c r="I227" s="23" t="str">
        <f aca="false">IF($D227="","",IFERROR(INDEX(モデル一覧!$D:$D,MATCH($D227,モデル一覧!$A:$A,0)),"IDなし"))</f>
        <v/>
      </c>
      <c r="J227" s="23" t="str">
        <f aca="false">IF($D227="","",IFERROR(INDEX(モデル一覧!$E:$E,MATCH($D227,モデル一覧!$A:$A,0)),"IDなし"))</f>
        <v/>
      </c>
      <c r="K227" s="24" t="str">
        <f aca="false">IF($D227="","",IFERROR(IF(INDEX(モデル一覧!$L:$L,MATCH($D227,モデル一覧!$A:$A,0))="","",DATE(INDEX(モデル一覧!$K:$K,MATCH($D227,モデル一覧!$A:$A,0)),INDEX(モデル一覧!$L:$L,MATCH($D227,モデル一覧!$A:$A,0)),1)),""))</f>
        <v/>
      </c>
      <c r="L227" s="25" t="str">
        <f aca="false">IF(OR($F227="",$G227=""),"",(YEAR($F227)-YEAR($G227))*12+MONTH($F227)-MONTH($G227))</f>
        <v/>
      </c>
      <c r="M227" s="25" t="str">
        <f aca="false">IF(OR($F227="",$K227=""),"",(YEAR($F227)-YEAR($K227))*12+MONTH($F227)-MONTH($K227))</f>
        <v/>
      </c>
      <c r="N227" s="23" t="str">
        <f aca="false">IF($L227="","",IF(ABS($L227)&lt;=3,"整合",IF($L227&gt;3,"S&amp;P先行：SOP・生産国・世代を確認","ML先行：旧世代込み・先行登録を確認")))</f>
        <v/>
      </c>
      <c r="O227" s="22"/>
      <c r="P227" s="19"/>
    </row>
    <row r="228" customFormat="false" ht="15" hidden="false" customHeight="false" outlineLevel="0" collapsed="false">
      <c r="A228" s="19"/>
      <c r="B228" s="19"/>
      <c r="C228" s="19"/>
      <c r="D228" s="20"/>
      <c r="E228" s="21"/>
      <c r="F228" s="22"/>
      <c r="G228" s="22"/>
      <c r="H228" s="21"/>
      <c r="I228" s="23" t="str">
        <f aca="false">IF($D228="","",IFERROR(INDEX(モデル一覧!$D:$D,MATCH($D228,モデル一覧!$A:$A,0)),"IDなし"))</f>
        <v/>
      </c>
      <c r="J228" s="23" t="str">
        <f aca="false">IF($D228="","",IFERROR(INDEX(モデル一覧!$E:$E,MATCH($D228,モデル一覧!$A:$A,0)),"IDなし"))</f>
        <v/>
      </c>
      <c r="K228" s="24" t="str">
        <f aca="false">IF($D228="","",IFERROR(IF(INDEX(モデル一覧!$L:$L,MATCH($D228,モデル一覧!$A:$A,0))="","",DATE(INDEX(モデル一覧!$K:$K,MATCH($D228,モデル一覧!$A:$A,0)),INDEX(モデル一覧!$L:$L,MATCH($D228,モデル一覧!$A:$A,0)),1)),""))</f>
        <v/>
      </c>
      <c r="L228" s="25" t="str">
        <f aca="false">IF(OR($F228="",$G228=""),"",(YEAR($F228)-YEAR($G228))*12+MONTH($F228)-MONTH($G228))</f>
        <v/>
      </c>
      <c r="M228" s="25" t="str">
        <f aca="false">IF(OR($F228="",$K228=""),"",(YEAR($F228)-YEAR($K228))*12+MONTH($F228)-MONTH($K228))</f>
        <v/>
      </c>
      <c r="N228" s="23" t="str">
        <f aca="false">IF($L228="","",IF(ABS($L228)&lt;=3,"整合",IF($L228&gt;3,"S&amp;P先行：SOP・生産国・世代を確認","ML先行：旧世代込み・先行登録を確認")))</f>
        <v/>
      </c>
      <c r="O228" s="22"/>
      <c r="P228" s="19"/>
    </row>
    <row r="229" customFormat="false" ht="15" hidden="false" customHeight="false" outlineLevel="0" collapsed="false">
      <c r="A229" s="19"/>
      <c r="B229" s="19"/>
      <c r="C229" s="19"/>
      <c r="D229" s="20"/>
      <c r="E229" s="21"/>
      <c r="F229" s="22"/>
      <c r="G229" s="22"/>
      <c r="H229" s="21"/>
      <c r="I229" s="23" t="str">
        <f aca="false">IF($D229="","",IFERROR(INDEX(モデル一覧!$D:$D,MATCH($D229,モデル一覧!$A:$A,0)),"IDなし"))</f>
        <v/>
      </c>
      <c r="J229" s="23" t="str">
        <f aca="false">IF($D229="","",IFERROR(INDEX(モデル一覧!$E:$E,MATCH($D229,モデル一覧!$A:$A,0)),"IDなし"))</f>
        <v/>
      </c>
      <c r="K229" s="24" t="str">
        <f aca="false">IF($D229="","",IFERROR(IF(INDEX(モデル一覧!$L:$L,MATCH($D229,モデル一覧!$A:$A,0))="","",DATE(INDEX(モデル一覧!$K:$K,MATCH($D229,モデル一覧!$A:$A,0)),INDEX(モデル一覧!$L:$L,MATCH($D229,モデル一覧!$A:$A,0)),1)),""))</f>
        <v/>
      </c>
      <c r="L229" s="25" t="str">
        <f aca="false">IF(OR($F229="",$G229=""),"",(YEAR($F229)-YEAR($G229))*12+MONTH($F229)-MONTH($G229))</f>
        <v/>
      </c>
      <c r="M229" s="25" t="str">
        <f aca="false">IF(OR($F229="",$K229=""),"",(YEAR($F229)-YEAR($K229))*12+MONTH($F229)-MONTH($K229))</f>
        <v/>
      </c>
      <c r="N229" s="23" t="str">
        <f aca="false">IF($L229="","",IF(ABS($L229)&lt;=3,"整合",IF($L229&gt;3,"S&amp;P先行：SOP・生産国・世代を確認","ML先行：旧世代込み・先行登録を確認")))</f>
        <v/>
      </c>
      <c r="O229" s="22"/>
      <c r="P229" s="19"/>
    </row>
    <row r="230" customFormat="false" ht="15" hidden="false" customHeight="false" outlineLevel="0" collapsed="false">
      <c r="A230" s="19"/>
      <c r="B230" s="19"/>
      <c r="C230" s="19"/>
      <c r="D230" s="20"/>
      <c r="E230" s="21"/>
      <c r="F230" s="22"/>
      <c r="G230" s="22"/>
      <c r="H230" s="21"/>
      <c r="I230" s="23" t="str">
        <f aca="false">IF($D230="","",IFERROR(INDEX(モデル一覧!$D:$D,MATCH($D230,モデル一覧!$A:$A,0)),"IDなし"))</f>
        <v/>
      </c>
      <c r="J230" s="23" t="str">
        <f aca="false">IF($D230="","",IFERROR(INDEX(モデル一覧!$E:$E,MATCH($D230,モデル一覧!$A:$A,0)),"IDなし"))</f>
        <v/>
      </c>
      <c r="K230" s="24" t="str">
        <f aca="false">IF($D230="","",IFERROR(IF(INDEX(モデル一覧!$L:$L,MATCH($D230,モデル一覧!$A:$A,0))="","",DATE(INDEX(モデル一覧!$K:$K,MATCH($D230,モデル一覧!$A:$A,0)),INDEX(モデル一覧!$L:$L,MATCH($D230,モデル一覧!$A:$A,0)),1)),""))</f>
        <v/>
      </c>
      <c r="L230" s="25" t="str">
        <f aca="false">IF(OR($F230="",$G230=""),"",(YEAR($F230)-YEAR($G230))*12+MONTH($F230)-MONTH($G230))</f>
        <v/>
      </c>
      <c r="M230" s="25" t="str">
        <f aca="false">IF(OR($F230="",$K230=""),"",(YEAR($F230)-YEAR($K230))*12+MONTH($F230)-MONTH($K230))</f>
        <v/>
      </c>
      <c r="N230" s="23" t="str">
        <f aca="false">IF($L230="","",IF(ABS($L230)&lt;=3,"整合",IF($L230&gt;3,"S&amp;P先行：SOP・生産国・世代を確認","ML先行：旧世代込み・先行登録を確認")))</f>
        <v/>
      </c>
      <c r="O230" s="22"/>
      <c r="P230" s="19"/>
    </row>
    <row r="231" customFormat="false" ht="15" hidden="false" customHeight="false" outlineLevel="0" collapsed="false">
      <c r="A231" s="19"/>
      <c r="B231" s="19"/>
      <c r="C231" s="19"/>
      <c r="D231" s="20"/>
      <c r="E231" s="21"/>
      <c r="F231" s="22"/>
      <c r="G231" s="22"/>
      <c r="H231" s="21"/>
      <c r="I231" s="23" t="str">
        <f aca="false">IF($D231="","",IFERROR(INDEX(モデル一覧!$D:$D,MATCH($D231,モデル一覧!$A:$A,0)),"IDなし"))</f>
        <v/>
      </c>
      <c r="J231" s="23" t="str">
        <f aca="false">IF($D231="","",IFERROR(INDEX(モデル一覧!$E:$E,MATCH($D231,モデル一覧!$A:$A,0)),"IDなし"))</f>
        <v/>
      </c>
      <c r="K231" s="24" t="str">
        <f aca="false">IF($D231="","",IFERROR(IF(INDEX(モデル一覧!$L:$L,MATCH($D231,モデル一覧!$A:$A,0))="","",DATE(INDEX(モデル一覧!$K:$K,MATCH($D231,モデル一覧!$A:$A,0)),INDEX(モデル一覧!$L:$L,MATCH($D231,モデル一覧!$A:$A,0)),1)),""))</f>
        <v/>
      </c>
      <c r="L231" s="25" t="str">
        <f aca="false">IF(OR($F231="",$G231=""),"",(YEAR($F231)-YEAR($G231))*12+MONTH($F231)-MONTH($G231))</f>
        <v/>
      </c>
      <c r="M231" s="25" t="str">
        <f aca="false">IF(OR($F231="",$K231=""),"",(YEAR($F231)-YEAR($K231))*12+MONTH($F231)-MONTH($K231))</f>
        <v/>
      </c>
      <c r="N231" s="23" t="str">
        <f aca="false">IF($L231="","",IF(ABS($L231)&lt;=3,"整合",IF($L231&gt;3,"S&amp;P先行：SOP・生産国・世代を確認","ML先行：旧世代込み・先行登録を確認")))</f>
        <v/>
      </c>
      <c r="O231" s="22"/>
      <c r="P231" s="19"/>
    </row>
    <row r="232" customFormat="false" ht="15" hidden="false" customHeight="false" outlineLevel="0" collapsed="false">
      <c r="A232" s="19"/>
      <c r="B232" s="19"/>
      <c r="C232" s="19"/>
      <c r="D232" s="20"/>
      <c r="E232" s="21"/>
      <c r="F232" s="22"/>
      <c r="G232" s="22"/>
      <c r="H232" s="21"/>
      <c r="I232" s="23" t="str">
        <f aca="false">IF($D232="","",IFERROR(INDEX(モデル一覧!$D:$D,MATCH($D232,モデル一覧!$A:$A,0)),"IDなし"))</f>
        <v/>
      </c>
      <c r="J232" s="23" t="str">
        <f aca="false">IF($D232="","",IFERROR(INDEX(モデル一覧!$E:$E,MATCH($D232,モデル一覧!$A:$A,0)),"IDなし"))</f>
        <v/>
      </c>
      <c r="K232" s="24" t="str">
        <f aca="false">IF($D232="","",IFERROR(IF(INDEX(モデル一覧!$L:$L,MATCH($D232,モデル一覧!$A:$A,0))="","",DATE(INDEX(モデル一覧!$K:$K,MATCH($D232,モデル一覧!$A:$A,0)),INDEX(モデル一覧!$L:$L,MATCH($D232,モデル一覧!$A:$A,0)),1)),""))</f>
        <v/>
      </c>
      <c r="L232" s="25" t="str">
        <f aca="false">IF(OR($F232="",$G232=""),"",(YEAR($F232)-YEAR($G232))*12+MONTH($F232)-MONTH($G232))</f>
        <v/>
      </c>
      <c r="M232" s="25" t="str">
        <f aca="false">IF(OR($F232="",$K232=""),"",(YEAR($F232)-YEAR($K232))*12+MONTH($F232)-MONTH($K232))</f>
        <v/>
      </c>
      <c r="N232" s="23" t="str">
        <f aca="false">IF($L232="","",IF(ABS($L232)&lt;=3,"整合",IF($L232&gt;3,"S&amp;P先行：SOP・生産国・世代を確認","ML先行：旧世代込み・先行登録を確認")))</f>
        <v/>
      </c>
      <c r="O232" s="22"/>
      <c r="P232" s="19"/>
    </row>
    <row r="233" customFormat="false" ht="15" hidden="false" customHeight="false" outlineLevel="0" collapsed="false">
      <c r="A233" s="19"/>
      <c r="B233" s="19"/>
      <c r="C233" s="19"/>
      <c r="D233" s="20"/>
      <c r="E233" s="21"/>
      <c r="F233" s="22"/>
      <c r="G233" s="22"/>
      <c r="H233" s="21"/>
      <c r="I233" s="23" t="str">
        <f aca="false">IF($D233="","",IFERROR(INDEX(モデル一覧!$D:$D,MATCH($D233,モデル一覧!$A:$A,0)),"IDなし"))</f>
        <v/>
      </c>
      <c r="J233" s="23" t="str">
        <f aca="false">IF($D233="","",IFERROR(INDEX(モデル一覧!$E:$E,MATCH($D233,モデル一覧!$A:$A,0)),"IDなし"))</f>
        <v/>
      </c>
      <c r="K233" s="24" t="str">
        <f aca="false">IF($D233="","",IFERROR(IF(INDEX(モデル一覧!$L:$L,MATCH($D233,モデル一覧!$A:$A,0))="","",DATE(INDEX(モデル一覧!$K:$K,MATCH($D233,モデル一覧!$A:$A,0)),INDEX(モデル一覧!$L:$L,MATCH($D233,モデル一覧!$A:$A,0)),1)),""))</f>
        <v/>
      </c>
      <c r="L233" s="25" t="str">
        <f aca="false">IF(OR($F233="",$G233=""),"",(YEAR($F233)-YEAR($G233))*12+MONTH($F233)-MONTH($G233))</f>
        <v/>
      </c>
      <c r="M233" s="25" t="str">
        <f aca="false">IF(OR($F233="",$K233=""),"",(YEAR($F233)-YEAR($K233))*12+MONTH($F233)-MONTH($K233))</f>
        <v/>
      </c>
      <c r="N233" s="23" t="str">
        <f aca="false">IF($L233="","",IF(ABS($L233)&lt;=3,"整合",IF($L233&gt;3,"S&amp;P先行：SOP・生産国・世代を確認","ML先行：旧世代込み・先行登録を確認")))</f>
        <v/>
      </c>
      <c r="O233" s="22"/>
      <c r="P233" s="19"/>
    </row>
    <row r="234" customFormat="false" ht="15" hidden="false" customHeight="false" outlineLevel="0" collapsed="false">
      <c r="A234" s="19"/>
      <c r="B234" s="19"/>
      <c r="C234" s="19"/>
      <c r="D234" s="20"/>
      <c r="E234" s="21"/>
      <c r="F234" s="22"/>
      <c r="G234" s="22"/>
      <c r="H234" s="21"/>
      <c r="I234" s="23" t="str">
        <f aca="false">IF($D234="","",IFERROR(INDEX(モデル一覧!$D:$D,MATCH($D234,モデル一覧!$A:$A,0)),"IDなし"))</f>
        <v/>
      </c>
      <c r="J234" s="23" t="str">
        <f aca="false">IF($D234="","",IFERROR(INDEX(モデル一覧!$E:$E,MATCH($D234,モデル一覧!$A:$A,0)),"IDなし"))</f>
        <v/>
      </c>
      <c r="K234" s="24" t="str">
        <f aca="false">IF($D234="","",IFERROR(IF(INDEX(モデル一覧!$L:$L,MATCH($D234,モデル一覧!$A:$A,0))="","",DATE(INDEX(モデル一覧!$K:$K,MATCH($D234,モデル一覧!$A:$A,0)),INDEX(モデル一覧!$L:$L,MATCH($D234,モデル一覧!$A:$A,0)),1)),""))</f>
        <v/>
      </c>
      <c r="L234" s="25" t="str">
        <f aca="false">IF(OR($F234="",$G234=""),"",(YEAR($F234)-YEAR($G234))*12+MONTH($F234)-MONTH($G234))</f>
        <v/>
      </c>
      <c r="M234" s="25" t="str">
        <f aca="false">IF(OR($F234="",$K234=""),"",(YEAR($F234)-YEAR($K234))*12+MONTH($F234)-MONTH($K234))</f>
        <v/>
      </c>
      <c r="N234" s="23" t="str">
        <f aca="false">IF($L234="","",IF(ABS($L234)&lt;=3,"整合",IF($L234&gt;3,"S&amp;P先行：SOP・生産国・世代を確認","ML先行：旧世代込み・先行登録を確認")))</f>
        <v/>
      </c>
      <c r="O234" s="22"/>
      <c r="P234" s="19"/>
    </row>
    <row r="235" customFormat="false" ht="15" hidden="false" customHeight="false" outlineLevel="0" collapsed="false">
      <c r="A235" s="19"/>
      <c r="B235" s="19"/>
      <c r="C235" s="19"/>
      <c r="D235" s="20"/>
      <c r="E235" s="21"/>
      <c r="F235" s="22"/>
      <c r="G235" s="22"/>
      <c r="H235" s="21"/>
      <c r="I235" s="23" t="str">
        <f aca="false">IF($D235="","",IFERROR(INDEX(モデル一覧!$D:$D,MATCH($D235,モデル一覧!$A:$A,0)),"IDなし"))</f>
        <v/>
      </c>
      <c r="J235" s="23" t="str">
        <f aca="false">IF($D235="","",IFERROR(INDEX(モデル一覧!$E:$E,MATCH($D235,モデル一覧!$A:$A,0)),"IDなし"))</f>
        <v/>
      </c>
      <c r="K235" s="24" t="str">
        <f aca="false">IF($D235="","",IFERROR(IF(INDEX(モデル一覧!$L:$L,MATCH($D235,モデル一覧!$A:$A,0))="","",DATE(INDEX(モデル一覧!$K:$K,MATCH($D235,モデル一覧!$A:$A,0)),INDEX(モデル一覧!$L:$L,MATCH($D235,モデル一覧!$A:$A,0)),1)),""))</f>
        <v/>
      </c>
      <c r="L235" s="25" t="str">
        <f aca="false">IF(OR($F235="",$G235=""),"",(YEAR($F235)-YEAR($G235))*12+MONTH($F235)-MONTH($G235))</f>
        <v/>
      </c>
      <c r="M235" s="25" t="str">
        <f aca="false">IF(OR($F235="",$K235=""),"",(YEAR($F235)-YEAR($K235))*12+MONTH($F235)-MONTH($K235))</f>
        <v/>
      </c>
      <c r="N235" s="23" t="str">
        <f aca="false">IF($L235="","",IF(ABS($L235)&lt;=3,"整合",IF($L235&gt;3,"S&amp;P先行：SOP・生産国・世代を確認","ML先行：旧世代込み・先行登録を確認")))</f>
        <v/>
      </c>
      <c r="O235" s="22"/>
      <c r="P235" s="19"/>
    </row>
    <row r="236" customFormat="false" ht="15" hidden="false" customHeight="false" outlineLevel="0" collapsed="false">
      <c r="A236" s="19"/>
      <c r="B236" s="19"/>
      <c r="C236" s="19"/>
      <c r="D236" s="20"/>
      <c r="E236" s="21"/>
      <c r="F236" s="22"/>
      <c r="G236" s="22"/>
      <c r="H236" s="21"/>
      <c r="I236" s="23" t="str">
        <f aca="false">IF($D236="","",IFERROR(INDEX(モデル一覧!$D:$D,MATCH($D236,モデル一覧!$A:$A,0)),"IDなし"))</f>
        <v/>
      </c>
      <c r="J236" s="23" t="str">
        <f aca="false">IF($D236="","",IFERROR(INDEX(モデル一覧!$E:$E,MATCH($D236,モデル一覧!$A:$A,0)),"IDなし"))</f>
        <v/>
      </c>
      <c r="K236" s="24" t="str">
        <f aca="false">IF($D236="","",IFERROR(IF(INDEX(モデル一覧!$L:$L,MATCH($D236,モデル一覧!$A:$A,0))="","",DATE(INDEX(モデル一覧!$K:$K,MATCH($D236,モデル一覧!$A:$A,0)),INDEX(モデル一覧!$L:$L,MATCH($D236,モデル一覧!$A:$A,0)),1)),""))</f>
        <v/>
      </c>
      <c r="L236" s="25" t="str">
        <f aca="false">IF(OR($F236="",$G236=""),"",(YEAR($F236)-YEAR($G236))*12+MONTH($F236)-MONTH($G236))</f>
        <v/>
      </c>
      <c r="M236" s="25" t="str">
        <f aca="false">IF(OR($F236="",$K236=""),"",(YEAR($F236)-YEAR($K236))*12+MONTH($F236)-MONTH($K236))</f>
        <v/>
      </c>
      <c r="N236" s="23" t="str">
        <f aca="false">IF($L236="","",IF(ABS($L236)&lt;=3,"整合",IF($L236&gt;3,"S&amp;P先行：SOP・生産国・世代を確認","ML先行：旧世代込み・先行登録を確認")))</f>
        <v/>
      </c>
      <c r="O236" s="22"/>
      <c r="P236" s="19"/>
    </row>
    <row r="237" customFormat="false" ht="15" hidden="false" customHeight="false" outlineLevel="0" collapsed="false">
      <c r="A237" s="19"/>
      <c r="B237" s="19"/>
      <c r="C237" s="19"/>
      <c r="D237" s="20"/>
      <c r="E237" s="21"/>
      <c r="F237" s="22"/>
      <c r="G237" s="22"/>
      <c r="H237" s="21"/>
      <c r="I237" s="23" t="str">
        <f aca="false">IF($D237="","",IFERROR(INDEX(モデル一覧!$D:$D,MATCH($D237,モデル一覧!$A:$A,0)),"IDなし"))</f>
        <v/>
      </c>
      <c r="J237" s="23" t="str">
        <f aca="false">IF($D237="","",IFERROR(INDEX(モデル一覧!$E:$E,MATCH($D237,モデル一覧!$A:$A,0)),"IDなし"))</f>
        <v/>
      </c>
      <c r="K237" s="24" t="str">
        <f aca="false">IF($D237="","",IFERROR(IF(INDEX(モデル一覧!$L:$L,MATCH($D237,モデル一覧!$A:$A,0))="","",DATE(INDEX(モデル一覧!$K:$K,MATCH($D237,モデル一覧!$A:$A,0)),INDEX(モデル一覧!$L:$L,MATCH($D237,モデル一覧!$A:$A,0)),1)),""))</f>
        <v/>
      </c>
      <c r="L237" s="25" t="str">
        <f aca="false">IF(OR($F237="",$G237=""),"",(YEAR($F237)-YEAR($G237))*12+MONTH($F237)-MONTH($G237))</f>
        <v/>
      </c>
      <c r="M237" s="25" t="str">
        <f aca="false">IF(OR($F237="",$K237=""),"",(YEAR($F237)-YEAR($K237))*12+MONTH($F237)-MONTH($K237))</f>
        <v/>
      </c>
      <c r="N237" s="23" t="str">
        <f aca="false">IF($L237="","",IF(ABS($L237)&lt;=3,"整合",IF($L237&gt;3,"S&amp;P先行：SOP・生産国・世代を確認","ML先行：旧世代込み・先行登録を確認")))</f>
        <v/>
      </c>
      <c r="O237" s="22"/>
      <c r="P237" s="19"/>
    </row>
    <row r="238" customFormat="false" ht="15" hidden="false" customHeight="false" outlineLevel="0" collapsed="false">
      <c r="A238" s="19"/>
      <c r="B238" s="19"/>
      <c r="C238" s="19"/>
      <c r="D238" s="20"/>
      <c r="E238" s="21"/>
      <c r="F238" s="22"/>
      <c r="G238" s="22"/>
      <c r="H238" s="21"/>
      <c r="I238" s="23" t="str">
        <f aca="false">IF($D238="","",IFERROR(INDEX(モデル一覧!$D:$D,MATCH($D238,モデル一覧!$A:$A,0)),"IDなし"))</f>
        <v/>
      </c>
      <c r="J238" s="23" t="str">
        <f aca="false">IF($D238="","",IFERROR(INDEX(モデル一覧!$E:$E,MATCH($D238,モデル一覧!$A:$A,0)),"IDなし"))</f>
        <v/>
      </c>
      <c r="K238" s="24" t="str">
        <f aca="false">IF($D238="","",IFERROR(IF(INDEX(モデル一覧!$L:$L,MATCH($D238,モデル一覧!$A:$A,0))="","",DATE(INDEX(モデル一覧!$K:$K,MATCH($D238,モデル一覧!$A:$A,0)),INDEX(モデル一覧!$L:$L,MATCH($D238,モデル一覧!$A:$A,0)),1)),""))</f>
        <v/>
      </c>
      <c r="L238" s="25" t="str">
        <f aca="false">IF(OR($F238="",$G238=""),"",(YEAR($F238)-YEAR($G238))*12+MONTH($F238)-MONTH($G238))</f>
        <v/>
      </c>
      <c r="M238" s="25" t="str">
        <f aca="false">IF(OR($F238="",$K238=""),"",(YEAR($F238)-YEAR($K238))*12+MONTH($F238)-MONTH($K238))</f>
        <v/>
      </c>
      <c r="N238" s="23" t="str">
        <f aca="false">IF($L238="","",IF(ABS($L238)&lt;=3,"整合",IF($L238&gt;3,"S&amp;P先行：SOP・生産国・世代を確認","ML先行：旧世代込み・先行登録を確認")))</f>
        <v/>
      </c>
      <c r="O238" s="22"/>
      <c r="P238" s="19"/>
    </row>
    <row r="239" customFormat="false" ht="15" hidden="false" customHeight="false" outlineLevel="0" collapsed="false">
      <c r="A239" s="19"/>
      <c r="B239" s="19"/>
      <c r="C239" s="19"/>
      <c r="D239" s="20"/>
      <c r="E239" s="21"/>
      <c r="F239" s="22"/>
      <c r="G239" s="22"/>
      <c r="H239" s="21"/>
      <c r="I239" s="23" t="str">
        <f aca="false">IF($D239="","",IFERROR(INDEX(モデル一覧!$D:$D,MATCH($D239,モデル一覧!$A:$A,0)),"IDなし"))</f>
        <v/>
      </c>
      <c r="J239" s="23" t="str">
        <f aca="false">IF($D239="","",IFERROR(INDEX(モデル一覧!$E:$E,MATCH($D239,モデル一覧!$A:$A,0)),"IDなし"))</f>
        <v/>
      </c>
      <c r="K239" s="24" t="str">
        <f aca="false">IF($D239="","",IFERROR(IF(INDEX(モデル一覧!$L:$L,MATCH($D239,モデル一覧!$A:$A,0))="","",DATE(INDEX(モデル一覧!$K:$K,MATCH($D239,モデル一覧!$A:$A,0)),INDEX(モデル一覧!$L:$L,MATCH($D239,モデル一覧!$A:$A,0)),1)),""))</f>
        <v/>
      </c>
      <c r="L239" s="25" t="str">
        <f aca="false">IF(OR($F239="",$G239=""),"",(YEAR($F239)-YEAR($G239))*12+MONTH($F239)-MONTH($G239))</f>
        <v/>
      </c>
      <c r="M239" s="25" t="str">
        <f aca="false">IF(OR($F239="",$K239=""),"",(YEAR($F239)-YEAR($K239))*12+MONTH($F239)-MONTH($K239))</f>
        <v/>
      </c>
      <c r="N239" s="23" t="str">
        <f aca="false">IF($L239="","",IF(ABS($L239)&lt;=3,"整合",IF($L239&gt;3,"S&amp;P先行：SOP・生産国・世代を確認","ML先行：旧世代込み・先行登録を確認")))</f>
        <v/>
      </c>
      <c r="O239" s="22"/>
      <c r="P239" s="19"/>
    </row>
    <row r="240" customFormat="false" ht="15" hidden="false" customHeight="false" outlineLevel="0" collapsed="false">
      <c r="A240" s="19"/>
      <c r="B240" s="19"/>
      <c r="C240" s="19"/>
      <c r="D240" s="20"/>
      <c r="E240" s="21"/>
      <c r="F240" s="22"/>
      <c r="G240" s="22"/>
      <c r="H240" s="21"/>
      <c r="I240" s="23" t="str">
        <f aca="false">IF($D240="","",IFERROR(INDEX(モデル一覧!$D:$D,MATCH($D240,モデル一覧!$A:$A,0)),"IDなし"))</f>
        <v/>
      </c>
      <c r="J240" s="23" t="str">
        <f aca="false">IF($D240="","",IFERROR(INDEX(モデル一覧!$E:$E,MATCH($D240,モデル一覧!$A:$A,0)),"IDなし"))</f>
        <v/>
      </c>
      <c r="K240" s="24" t="str">
        <f aca="false">IF($D240="","",IFERROR(IF(INDEX(モデル一覧!$L:$L,MATCH($D240,モデル一覧!$A:$A,0))="","",DATE(INDEX(モデル一覧!$K:$K,MATCH($D240,モデル一覧!$A:$A,0)),INDEX(モデル一覧!$L:$L,MATCH($D240,モデル一覧!$A:$A,0)),1)),""))</f>
        <v/>
      </c>
      <c r="L240" s="25" t="str">
        <f aca="false">IF(OR($F240="",$G240=""),"",(YEAR($F240)-YEAR($G240))*12+MONTH($F240)-MONTH($G240))</f>
        <v/>
      </c>
      <c r="M240" s="25" t="str">
        <f aca="false">IF(OR($F240="",$K240=""),"",(YEAR($F240)-YEAR($K240))*12+MONTH($F240)-MONTH($K240))</f>
        <v/>
      </c>
      <c r="N240" s="23" t="str">
        <f aca="false">IF($L240="","",IF(ABS($L240)&lt;=3,"整合",IF($L240&gt;3,"S&amp;P先行：SOP・生産国・世代を確認","ML先行：旧世代込み・先行登録を確認")))</f>
        <v/>
      </c>
      <c r="O240" s="22"/>
      <c r="P240" s="19"/>
    </row>
    <row r="241" customFormat="false" ht="15" hidden="false" customHeight="false" outlineLevel="0" collapsed="false">
      <c r="A241" s="19"/>
      <c r="B241" s="19"/>
      <c r="C241" s="19"/>
      <c r="D241" s="20"/>
      <c r="E241" s="21"/>
      <c r="F241" s="22"/>
      <c r="G241" s="22"/>
      <c r="H241" s="21"/>
      <c r="I241" s="23" t="str">
        <f aca="false">IF($D241="","",IFERROR(INDEX(モデル一覧!$D:$D,MATCH($D241,モデル一覧!$A:$A,0)),"IDなし"))</f>
        <v/>
      </c>
      <c r="J241" s="23" t="str">
        <f aca="false">IF($D241="","",IFERROR(INDEX(モデル一覧!$E:$E,MATCH($D241,モデル一覧!$A:$A,0)),"IDなし"))</f>
        <v/>
      </c>
      <c r="K241" s="24" t="str">
        <f aca="false">IF($D241="","",IFERROR(IF(INDEX(モデル一覧!$L:$L,MATCH($D241,モデル一覧!$A:$A,0))="","",DATE(INDEX(モデル一覧!$K:$K,MATCH($D241,モデル一覧!$A:$A,0)),INDEX(モデル一覧!$L:$L,MATCH($D241,モデル一覧!$A:$A,0)),1)),""))</f>
        <v/>
      </c>
      <c r="L241" s="25" t="str">
        <f aca="false">IF(OR($F241="",$G241=""),"",(YEAR($F241)-YEAR($G241))*12+MONTH($F241)-MONTH($G241))</f>
        <v/>
      </c>
      <c r="M241" s="25" t="str">
        <f aca="false">IF(OR($F241="",$K241=""),"",(YEAR($F241)-YEAR($K241))*12+MONTH($F241)-MONTH($K241))</f>
        <v/>
      </c>
      <c r="N241" s="23" t="str">
        <f aca="false">IF($L241="","",IF(ABS($L241)&lt;=3,"整合",IF($L241&gt;3,"S&amp;P先行：SOP・生産国・世代を確認","ML先行：旧世代込み・先行登録を確認")))</f>
        <v/>
      </c>
      <c r="O241" s="22"/>
      <c r="P241" s="19"/>
    </row>
    <row r="242" customFormat="false" ht="15" hidden="false" customHeight="false" outlineLevel="0" collapsed="false">
      <c r="A242" s="19"/>
      <c r="B242" s="19"/>
      <c r="C242" s="19"/>
      <c r="D242" s="20"/>
      <c r="E242" s="21"/>
      <c r="F242" s="22"/>
      <c r="G242" s="22"/>
      <c r="H242" s="21"/>
      <c r="I242" s="23" t="str">
        <f aca="false">IF($D242="","",IFERROR(INDEX(モデル一覧!$D:$D,MATCH($D242,モデル一覧!$A:$A,0)),"IDなし"))</f>
        <v/>
      </c>
      <c r="J242" s="23" t="str">
        <f aca="false">IF($D242="","",IFERROR(INDEX(モデル一覧!$E:$E,MATCH($D242,モデル一覧!$A:$A,0)),"IDなし"))</f>
        <v/>
      </c>
      <c r="K242" s="24" t="str">
        <f aca="false">IF($D242="","",IFERROR(IF(INDEX(モデル一覧!$L:$L,MATCH($D242,モデル一覧!$A:$A,0))="","",DATE(INDEX(モデル一覧!$K:$K,MATCH($D242,モデル一覧!$A:$A,0)),INDEX(モデル一覧!$L:$L,MATCH($D242,モデル一覧!$A:$A,0)),1)),""))</f>
        <v/>
      </c>
      <c r="L242" s="25" t="str">
        <f aca="false">IF(OR($F242="",$G242=""),"",(YEAR($F242)-YEAR($G242))*12+MONTH($F242)-MONTH($G242))</f>
        <v/>
      </c>
      <c r="M242" s="25" t="str">
        <f aca="false">IF(OR($F242="",$K242=""),"",(YEAR($F242)-YEAR($K242))*12+MONTH($F242)-MONTH($K242))</f>
        <v/>
      </c>
      <c r="N242" s="23" t="str">
        <f aca="false">IF($L242="","",IF(ABS($L242)&lt;=3,"整合",IF($L242&gt;3,"S&amp;P先行：SOP・生産国・世代を確認","ML先行：旧世代込み・先行登録を確認")))</f>
        <v/>
      </c>
      <c r="O242" s="22"/>
      <c r="P242" s="19"/>
    </row>
    <row r="243" customFormat="false" ht="15" hidden="false" customHeight="false" outlineLevel="0" collapsed="false">
      <c r="A243" s="19"/>
      <c r="B243" s="19"/>
      <c r="C243" s="19"/>
      <c r="D243" s="20"/>
      <c r="E243" s="21"/>
      <c r="F243" s="22"/>
      <c r="G243" s="22"/>
      <c r="H243" s="21"/>
      <c r="I243" s="23" t="str">
        <f aca="false">IF($D243="","",IFERROR(INDEX(モデル一覧!$D:$D,MATCH($D243,モデル一覧!$A:$A,0)),"IDなし"))</f>
        <v/>
      </c>
      <c r="J243" s="23" t="str">
        <f aca="false">IF($D243="","",IFERROR(INDEX(モデル一覧!$E:$E,MATCH($D243,モデル一覧!$A:$A,0)),"IDなし"))</f>
        <v/>
      </c>
      <c r="K243" s="24" t="str">
        <f aca="false">IF($D243="","",IFERROR(IF(INDEX(モデル一覧!$L:$L,MATCH($D243,モデル一覧!$A:$A,0))="","",DATE(INDEX(モデル一覧!$K:$K,MATCH($D243,モデル一覧!$A:$A,0)),INDEX(モデル一覧!$L:$L,MATCH($D243,モデル一覧!$A:$A,0)),1)),""))</f>
        <v/>
      </c>
      <c r="L243" s="25" t="str">
        <f aca="false">IF(OR($F243="",$G243=""),"",(YEAR($F243)-YEAR($G243))*12+MONTH($F243)-MONTH($G243))</f>
        <v/>
      </c>
      <c r="M243" s="25" t="str">
        <f aca="false">IF(OR($F243="",$K243=""),"",(YEAR($F243)-YEAR($K243))*12+MONTH($F243)-MONTH($K243))</f>
        <v/>
      </c>
      <c r="N243" s="23" t="str">
        <f aca="false">IF($L243="","",IF(ABS($L243)&lt;=3,"整合",IF($L243&gt;3,"S&amp;P先行：SOP・生産国・世代を確認","ML先行：旧世代込み・先行登録を確認")))</f>
        <v/>
      </c>
      <c r="O243" s="22"/>
      <c r="P243" s="19"/>
    </row>
    <row r="244" customFormat="false" ht="15" hidden="false" customHeight="false" outlineLevel="0" collapsed="false">
      <c r="A244" s="19"/>
      <c r="B244" s="19"/>
      <c r="C244" s="19"/>
      <c r="D244" s="20"/>
      <c r="E244" s="21"/>
      <c r="F244" s="22"/>
      <c r="G244" s="22"/>
      <c r="H244" s="21"/>
      <c r="I244" s="23" t="str">
        <f aca="false">IF($D244="","",IFERROR(INDEX(モデル一覧!$D:$D,MATCH($D244,モデル一覧!$A:$A,0)),"IDなし"))</f>
        <v/>
      </c>
      <c r="J244" s="23" t="str">
        <f aca="false">IF($D244="","",IFERROR(INDEX(モデル一覧!$E:$E,MATCH($D244,モデル一覧!$A:$A,0)),"IDなし"))</f>
        <v/>
      </c>
      <c r="K244" s="24" t="str">
        <f aca="false">IF($D244="","",IFERROR(IF(INDEX(モデル一覧!$L:$L,MATCH($D244,モデル一覧!$A:$A,0))="","",DATE(INDEX(モデル一覧!$K:$K,MATCH($D244,モデル一覧!$A:$A,0)),INDEX(モデル一覧!$L:$L,MATCH($D244,モデル一覧!$A:$A,0)),1)),""))</f>
        <v/>
      </c>
      <c r="L244" s="25" t="str">
        <f aca="false">IF(OR($F244="",$G244=""),"",(YEAR($F244)-YEAR($G244))*12+MONTH($F244)-MONTH($G244))</f>
        <v/>
      </c>
      <c r="M244" s="25" t="str">
        <f aca="false">IF(OR($F244="",$K244=""),"",(YEAR($F244)-YEAR($K244))*12+MONTH($F244)-MONTH($K244))</f>
        <v/>
      </c>
      <c r="N244" s="23" t="str">
        <f aca="false">IF($L244="","",IF(ABS($L244)&lt;=3,"整合",IF($L244&gt;3,"S&amp;P先行：SOP・生産国・世代を確認","ML先行：旧世代込み・先行登録を確認")))</f>
        <v/>
      </c>
      <c r="O244" s="22"/>
      <c r="P244" s="19"/>
    </row>
    <row r="245" customFormat="false" ht="15" hidden="false" customHeight="false" outlineLevel="0" collapsed="false">
      <c r="A245" s="19"/>
      <c r="B245" s="19"/>
      <c r="C245" s="19"/>
      <c r="D245" s="20"/>
      <c r="E245" s="21"/>
      <c r="F245" s="22"/>
      <c r="G245" s="22"/>
      <c r="H245" s="21"/>
      <c r="I245" s="23" t="str">
        <f aca="false">IF($D245="","",IFERROR(INDEX(モデル一覧!$D:$D,MATCH($D245,モデル一覧!$A:$A,0)),"IDなし"))</f>
        <v/>
      </c>
      <c r="J245" s="23" t="str">
        <f aca="false">IF($D245="","",IFERROR(INDEX(モデル一覧!$E:$E,MATCH($D245,モデル一覧!$A:$A,0)),"IDなし"))</f>
        <v/>
      </c>
      <c r="K245" s="24" t="str">
        <f aca="false">IF($D245="","",IFERROR(IF(INDEX(モデル一覧!$L:$L,MATCH($D245,モデル一覧!$A:$A,0))="","",DATE(INDEX(モデル一覧!$K:$K,MATCH($D245,モデル一覧!$A:$A,0)),INDEX(モデル一覧!$L:$L,MATCH($D245,モデル一覧!$A:$A,0)),1)),""))</f>
        <v/>
      </c>
      <c r="L245" s="25" t="str">
        <f aca="false">IF(OR($F245="",$G245=""),"",(YEAR($F245)-YEAR($G245))*12+MONTH($F245)-MONTH($G245))</f>
        <v/>
      </c>
      <c r="M245" s="25" t="str">
        <f aca="false">IF(OR($F245="",$K245=""),"",(YEAR($F245)-YEAR($K245))*12+MONTH($F245)-MONTH($K245))</f>
        <v/>
      </c>
      <c r="N245" s="23" t="str">
        <f aca="false">IF($L245="","",IF(ABS($L245)&lt;=3,"整合",IF($L245&gt;3,"S&amp;P先行：SOP・生産国・世代を確認","ML先行：旧世代込み・先行登録を確認")))</f>
        <v/>
      </c>
      <c r="O245" s="22"/>
      <c r="P245" s="19"/>
    </row>
    <row r="246" customFormat="false" ht="15" hidden="false" customHeight="false" outlineLevel="0" collapsed="false">
      <c r="A246" s="19"/>
      <c r="B246" s="19"/>
      <c r="C246" s="19"/>
      <c r="D246" s="20"/>
      <c r="E246" s="21"/>
      <c r="F246" s="22"/>
      <c r="G246" s="22"/>
      <c r="H246" s="21"/>
      <c r="I246" s="23" t="str">
        <f aca="false">IF($D246="","",IFERROR(INDEX(モデル一覧!$D:$D,MATCH($D246,モデル一覧!$A:$A,0)),"IDなし"))</f>
        <v/>
      </c>
      <c r="J246" s="23" t="str">
        <f aca="false">IF($D246="","",IFERROR(INDEX(モデル一覧!$E:$E,MATCH($D246,モデル一覧!$A:$A,0)),"IDなし"))</f>
        <v/>
      </c>
      <c r="K246" s="24" t="str">
        <f aca="false">IF($D246="","",IFERROR(IF(INDEX(モデル一覧!$L:$L,MATCH($D246,モデル一覧!$A:$A,0))="","",DATE(INDEX(モデル一覧!$K:$K,MATCH($D246,モデル一覧!$A:$A,0)),INDEX(モデル一覧!$L:$L,MATCH($D246,モデル一覧!$A:$A,0)),1)),""))</f>
        <v/>
      </c>
      <c r="L246" s="25" t="str">
        <f aca="false">IF(OR($F246="",$G246=""),"",(YEAR($F246)-YEAR($G246))*12+MONTH($F246)-MONTH($G246))</f>
        <v/>
      </c>
      <c r="M246" s="25" t="str">
        <f aca="false">IF(OR($F246="",$K246=""),"",(YEAR($F246)-YEAR($K246))*12+MONTH($F246)-MONTH($K246))</f>
        <v/>
      </c>
      <c r="N246" s="23" t="str">
        <f aca="false">IF($L246="","",IF(ABS($L246)&lt;=3,"整合",IF($L246&gt;3,"S&amp;P先行：SOP・生産国・世代を確認","ML先行：旧世代込み・先行登録を確認")))</f>
        <v/>
      </c>
      <c r="O246" s="22"/>
      <c r="P246" s="19"/>
    </row>
    <row r="247" customFormat="false" ht="15" hidden="false" customHeight="false" outlineLevel="0" collapsed="false">
      <c r="A247" s="19"/>
      <c r="B247" s="19"/>
      <c r="C247" s="19"/>
      <c r="D247" s="20"/>
      <c r="E247" s="21"/>
      <c r="F247" s="22"/>
      <c r="G247" s="22"/>
      <c r="H247" s="21"/>
      <c r="I247" s="23" t="str">
        <f aca="false">IF($D247="","",IFERROR(INDEX(モデル一覧!$D:$D,MATCH($D247,モデル一覧!$A:$A,0)),"IDなし"))</f>
        <v/>
      </c>
      <c r="J247" s="23" t="str">
        <f aca="false">IF($D247="","",IFERROR(INDEX(モデル一覧!$E:$E,MATCH($D247,モデル一覧!$A:$A,0)),"IDなし"))</f>
        <v/>
      </c>
      <c r="K247" s="24" t="str">
        <f aca="false">IF($D247="","",IFERROR(IF(INDEX(モデル一覧!$L:$L,MATCH($D247,モデル一覧!$A:$A,0))="","",DATE(INDEX(モデル一覧!$K:$K,MATCH($D247,モデル一覧!$A:$A,0)),INDEX(モデル一覧!$L:$L,MATCH($D247,モデル一覧!$A:$A,0)),1)),""))</f>
        <v/>
      </c>
      <c r="L247" s="25" t="str">
        <f aca="false">IF(OR($F247="",$G247=""),"",(YEAR($F247)-YEAR($G247))*12+MONTH($F247)-MONTH($G247))</f>
        <v/>
      </c>
      <c r="M247" s="25" t="str">
        <f aca="false">IF(OR($F247="",$K247=""),"",(YEAR($F247)-YEAR($K247))*12+MONTH($F247)-MONTH($K247))</f>
        <v/>
      </c>
      <c r="N247" s="23" t="str">
        <f aca="false">IF($L247="","",IF(ABS($L247)&lt;=3,"整合",IF($L247&gt;3,"S&amp;P先行：SOP・生産国・世代を確認","ML先行：旧世代込み・先行登録を確認")))</f>
        <v/>
      </c>
      <c r="O247" s="22"/>
      <c r="P247" s="19"/>
    </row>
    <row r="248" customFormat="false" ht="15" hidden="false" customHeight="false" outlineLevel="0" collapsed="false">
      <c r="A248" s="19"/>
      <c r="B248" s="19"/>
      <c r="C248" s="19"/>
      <c r="D248" s="20"/>
      <c r="E248" s="21"/>
      <c r="F248" s="22"/>
      <c r="G248" s="22"/>
      <c r="H248" s="21"/>
      <c r="I248" s="23" t="str">
        <f aca="false">IF($D248="","",IFERROR(INDEX(モデル一覧!$D:$D,MATCH($D248,モデル一覧!$A:$A,0)),"IDなし"))</f>
        <v/>
      </c>
      <c r="J248" s="23" t="str">
        <f aca="false">IF($D248="","",IFERROR(INDEX(モデル一覧!$E:$E,MATCH($D248,モデル一覧!$A:$A,0)),"IDなし"))</f>
        <v/>
      </c>
      <c r="K248" s="24" t="str">
        <f aca="false">IF($D248="","",IFERROR(IF(INDEX(モデル一覧!$L:$L,MATCH($D248,モデル一覧!$A:$A,0))="","",DATE(INDEX(モデル一覧!$K:$K,MATCH($D248,モデル一覧!$A:$A,0)),INDEX(モデル一覧!$L:$L,MATCH($D248,モデル一覧!$A:$A,0)),1)),""))</f>
        <v/>
      </c>
      <c r="L248" s="25" t="str">
        <f aca="false">IF(OR($F248="",$G248=""),"",(YEAR($F248)-YEAR($G248))*12+MONTH($F248)-MONTH($G248))</f>
        <v/>
      </c>
      <c r="M248" s="25" t="str">
        <f aca="false">IF(OR($F248="",$K248=""),"",(YEAR($F248)-YEAR($K248))*12+MONTH($F248)-MONTH($K248))</f>
        <v/>
      </c>
      <c r="N248" s="23" t="str">
        <f aca="false">IF($L248="","",IF(ABS($L248)&lt;=3,"整合",IF($L248&gt;3,"S&amp;P先行：SOP・生産国・世代を確認","ML先行：旧世代込み・先行登録を確認")))</f>
        <v/>
      </c>
      <c r="O248" s="22"/>
      <c r="P248" s="19"/>
    </row>
    <row r="249" customFormat="false" ht="15" hidden="false" customHeight="false" outlineLevel="0" collapsed="false">
      <c r="A249" s="19"/>
      <c r="B249" s="19"/>
      <c r="C249" s="19"/>
      <c r="D249" s="20"/>
      <c r="E249" s="21"/>
      <c r="F249" s="22"/>
      <c r="G249" s="22"/>
      <c r="H249" s="21"/>
      <c r="I249" s="23" t="str">
        <f aca="false">IF($D249="","",IFERROR(INDEX(モデル一覧!$D:$D,MATCH($D249,モデル一覧!$A:$A,0)),"IDなし"))</f>
        <v/>
      </c>
      <c r="J249" s="23" t="str">
        <f aca="false">IF($D249="","",IFERROR(INDEX(モデル一覧!$E:$E,MATCH($D249,モデル一覧!$A:$A,0)),"IDなし"))</f>
        <v/>
      </c>
      <c r="K249" s="24" t="str">
        <f aca="false">IF($D249="","",IFERROR(IF(INDEX(モデル一覧!$L:$L,MATCH($D249,モデル一覧!$A:$A,0))="","",DATE(INDEX(モデル一覧!$K:$K,MATCH($D249,モデル一覧!$A:$A,0)),INDEX(モデル一覧!$L:$L,MATCH($D249,モデル一覧!$A:$A,0)),1)),""))</f>
        <v/>
      </c>
      <c r="L249" s="25" t="str">
        <f aca="false">IF(OR($F249="",$G249=""),"",(YEAR($F249)-YEAR($G249))*12+MONTH($F249)-MONTH($G249))</f>
        <v/>
      </c>
      <c r="M249" s="25" t="str">
        <f aca="false">IF(OR($F249="",$K249=""),"",(YEAR($F249)-YEAR($K249))*12+MONTH($F249)-MONTH($K249))</f>
        <v/>
      </c>
      <c r="N249" s="23" t="str">
        <f aca="false">IF($L249="","",IF(ABS($L249)&lt;=3,"整合",IF($L249&gt;3,"S&amp;P先行：SOP・生産国・世代を確認","ML先行：旧世代込み・先行登録を確認")))</f>
        <v/>
      </c>
      <c r="O249" s="22"/>
      <c r="P249" s="19"/>
    </row>
    <row r="250" customFormat="false" ht="15" hidden="false" customHeight="false" outlineLevel="0" collapsed="false">
      <c r="A250" s="19"/>
      <c r="B250" s="19"/>
      <c r="C250" s="19"/>
      <c r="D250" s="20"/>
      <c r="E250" s="21"/>
      <c r="F250" s="22"/>
      <c r="G250" s="22"/>
      <c r="H250" s="21"/>
      <c r="I250" s="23" t="str">
        <f aca="false">IF($D250="","",IFERROR(INDEX(モデル一覧!$D:$D,MATCH($D250,モデル一覧!$A:$A,0)),"IDなし"))</f>
        <v/>
      </c>
      <c r="J250" s="23" t="str">
        <f aca="false">IF($D250="","",IFERROR(INDEX(モデル一覧!$E:$E,MATCH($D250,モデル一覧!$A:$A,0)),"IDなし"))</f>
        <v/>
      </c>
      <c r="K250" s="24" t="str">
        <f aca="false">IF($D250="","",IFERROR(IF(INDEX(モデル一覧!$L:$L,MATCH($D250,モデル一覧!$A:$A,0))="","",DATE(INDEX(モデル一覧!$K:$K,MATCH($D250,モデル一覧!$A:$A,0)),INDEX(モデル一覧!$L:$L,MATCH($D250,モデル一覧!$A:$A,0)),1)),""))</f>
        <v/>
      </c>
      <c r="L250" s="25" t="str">
        <f aca="false">IF(OR($F250="",$G250=""),"",(YEAR($F250)-YEAR($G250))*12+MONTH($F250)-MONTH($G250))</f>
        <v/>
      </c>
      <c r="M250" s="25" t="str">
        <f aca="false">IF(OR($F250="",$K250=""),"",(YEAR($F250)-YEAR($K250))*12+MONTH($F250)-MONTH($K250))</f>
        <v/>
      </c>
      <c r="N250" s="23" t="str">
        <f aca="false">IF($L250="","",IF(ABS($L250)&lt;=3,"整合",IF($L250&gt;3,"S&amp;P先行：SOP・生産国・世代を確認","ML先行：旧世代込み・先行登録を確認")))</f>
        <v/>
      </c>
      <c r="O250" s="22"/>
      <c r="P250" s="19"/>
    </row>
    <row r="251" customFormat="false" ht="15" hidden="false" customHeight="false" outlineLevel="0" collapsed="false">
      <c r="A251" s="19"/>
      <c r="B251" s="19"/>
      <c r="C251" s="19"/>
      <c r="D251" s="20"/>
      <c r="E251" s="21"/>
      <c r="F251" s="22"/>
      <c r="G251" s="22"/>
      <c r="H251" s="21"/>
      <c r="I251" s="23" t="str">
        <f aca="false">IF($D251="","",IFERROR(INDEX(モデル一覧!$D:$D,MATCH($D251,モデル一覧!$A:$A,0)),"IDなし"))</f>
        <v/>
      </c>
      <c r="J251" s="23" t="str">
        <f aca="false">IF($D251="","",IFERROR(INDEX(モデル一覧!$E:$E,MATCH($D251,モデル一覧!$A:$A,0)),"IDなし"))</f>
        <v/>
      </c>
      <c r="K251" s="24" t="str">
        <f aca="false">IF($D251="","",IFERROR(IF(INDEX(モデル一覧!$L:$L,MATCH($D251,モデル一覧!$A:$A,0))="","",DATE(INDEX(モデル一覧!$K:$K,MATCH($D251,モデル一覧!$A:$A,0)),INDEX(モデル一覧!$L:$L,MATCH($D251,モデル一覧!$A:$A,0)),1)),""))</f>
        <v/>
      </c>
      <c r="L251" s="25" t="str">
        <f aca="false">IF(OR($F251="",$G251=""),"",(YEAR($F251)-YEAR($G251))*12+MONTH($F251)-MONTH($G251))</f>
        <v/>
      </c>
      <c r="M251" s="25" t="str">
        <f aca="false">IF(OR($F251="",$K251=""),"",(YEAR($F251)-YEAR($K251))*12+MONTH($F251)-MONTH($K251))</f>
        <v/>
      </c>
      <c r="N251" s="23" t="str">
        <f aca="false">IF($L251="","",IF(ABS($L251)&lt;=3,"整合",IF($L251&gt;3,"S&amp;P先行：SOP・生産国・世代を確認","ML先行：旧世代込み・先行登録を確認")))</f>
        <v/>
      </c>
      <c r="O251" s="22"/>
      <c r="P251" s="19"/>
    </row>
    <row r="252" customFormat="false" ht="15" hidden="false" customHeight="false" outlineLevel="0" collapsed="false">
      <c r="A252" s="19"/>
      <c r="B252" s="19"/>
      <c r="C252" s="19"/>
      <c r="D252" s="20"/>
      <c r="E252" s="21"/>
      <c r="F252" s="22"/>
      <c r="G252" s="22"/>
      <c r="H252" s="21"/>
      <c r="I252" s="23" t="str">
        <f aca="false">IF($D252="","",IFERROR(INDEX(モデル一覧!$D:$D,MATCH($D252,モデル一覧!$A:$A,0)),"IDなし"))</f>
        <v/>
      </c>
      <c r="J252" s="23" t="str">
        <f aca="false">IF($D252="","",IFERROR(INDEX(モデル一覧!$E:$E,MATCH($D252,モデル一覧!$A:$A,0)),"IDなし"))</f>
        <v/>
      </c>
      <c r="K252" s="24" t="str">
        <f aca="false">IF($D252="","",IFERROR(IF(INDEX(モデル一覧!$L:$L,MATCH($D252,モデル一覧!$A:$A,0))="","",DATE(INDEX(モデル一覧!$K:$K,MATCH($D252,モデル一覧!$A:$A,0)),INDEX(モデル一覧!$L:$L,MATCH($D252,モデル一覧!$A:$A,0)),1)),""))</f>
        <v/>
      </c>
      <c r="L252" s="25" t="str">
        <f aca="false">IF(OR($F252="",$G252=""),"",(YEAR($F252)-YEAR($G252))*12+MONTH($F252)-MONTH($G252))</f>
        <v/>
      </c>
      <c r="M252" s="25" t="str">
        <f aca="false">IF(OR($F252="",$K252=""),"",(YEAR($F252)-YEAR($K252))*12+MONTH($F252)-MONTH($K252))</f>
        <v/>
      </c>
      <c r="N252" s="23" t="str">
        <f aca="false">IF($L252="","",IF(ABS($L252)&lt;=3,"整合",IF($L252&gt;3,"S&amp;P先行：SOP・生産国・世代を確認","ML先行：旧世代込み・先行登録を確認")))</f>
        <v/>
      </c>
      <c r="O252" s="22"/>
      <c r="P252" s="19"/>
    </row>
    <row r="253" customFormat="false" ht="15" hidden="false" customHeight="false" outlineLevel="0" collapsed="false">
      <c r="A253" s="19"/>
      <c r="B253" s="19"/>
      <c r="C253" s="19"/>
      <c r="D253" s="20"/>
      <c r="E253" s="21"/>
      <c r="F253" s="22"/>
      <c r="G253" s="22"/>
      <c r="H253" s="21"/>
      <c r="I253" s="23" t="str">
        <f aca="false">IF($D253="","",IFERROR(INDEX(モデル一覧!$D:$D,MATCH($D253,モデル一覧!$A:$A,0)),"IDなし"))</f>
        <v/>
      </c>
      <c r="J253" s="23" t="str">
        <f aca="false">IF($D253="","",IFERROR(INDEX(モデル一覧!$E:$E,MATCH($D253,モデル一覧!$A:$A,0)),"IDなし"))</f>
        <v/>
      </c>
      <c r="K253" s="24" t="str">
        <f aca="false">IF($D253="","",IFERROR(IF(INDEX(モデル一覧!$L:$L,MATCH($D253,モデル一覧!$A:$A,0))="","",DATE(INDEX(モデル一覧!$K:$K,MATCH($D253,モデル一覧!$A:$A,0)),INDEX(モデル一覧!$L:$L,MATCH($D253,モデル一覧!$A:$A,0)),1)),""))</f>
        <v/>
      </c>
      <c r="L253" s="25" t="str">
        <f aca="false">IF(OR($F253="",$G253=""),"",(YEAR($F253)-YEAR($G253))*12+MONTH($F253)-MONTH($G253))</f>
        <v/>
      </c>
      <c r="M253" s="25" t="str">
        <f aca="false">IF(OR($F253="",$K253=""),"",(YEAR($F253)-YEAR($K253))*12+MONTH($F253)-MONTH($K253))</f>
        <v/>
      </c>
      <c r="N253" s="23" t="str">
        <f aca="false">IF($L253="","",IF(ABS($L253)&lt;=3,"整合",IF($L253&gt;3,"S&amp;P先行：SOP・生産国・世代を確認","ML先行：旧世代込み・先行登録を確認")))</f>
        <v/>
      </c>
      <c r="O253" s="22"/>
      <c r="P253" s="19"/>
    </row>
    <row r="254" customFormat="false" ht="15" hidden="false" customHeight="false" outlineLevel="0" collapsed="false">
      <c r="A254" s="19"/>
      <c r="B254" s="19"/>
      <c r="C254" s="19"/>
      <c r="D254" s="20"/>
      <c r="E254" s="21"/>
      <c r="F254" s="22"/>
      <c r="G254" s="22"/>
      <c r="H254" s="21"/>
      <c r="I254" s="23" t="str">
        <f aca="false">IF($D254="","",IFERROR(INDEX(モデル一覧!$D:$D,MATCH($D254,モデル一覧!$A:$A,0)),"IDなし"))</f>
        <v/>
      </c>
      <c r="J254" s="23" t="str">
        <f aca="false">IF($D254="","",IFERROR(INDEX(モデル一覧!$E:$E,MATCH($D254,モデル一覧!$A:$A,0)),"IDなし"))</f>
        <v/>
      </c>
      <c r="K254" s="24" t="str">
        <f aca="false">IF($D254="","",IFERROR(IF(INDEX(モデル一覧!$L:$L,MATCH($D254,モデル一覧!$A:$A,0))="","",DATE(INDEX(モデル一覧!$K:$K,MATCH($D254,モデル一覧!$A:$A,0)),INDEX(モデル一覧!$L:$L,MATCH($D254,モデル一覧!$A:$A,0)),1)),""))</f>
        <v/>
      </c>
      <c r="L254" s="25" t="str">
        <f aca="false">IF(OR($F254="",$G254=""),"",(YEAR($F254)-YEAR($G254))*12+MONTH($F254)-MONTH($G254))</f>
        <v/>
      </c>
      <c r="M254" s="25" t="str">
        <f aca="false">IF(OR($F254="",$K254=""),"",(YEAR($F254)-YEAR($K254))*12+MONTH($F254)-MONTH($K254))</f>
        <v/>
      </c>
      <c r="N254" s="23" t="str">
        <f aca="false">IF($L254="","",IF(ABS($L254)&lt;=3,"整合",IF($L254&gt;3,"S&amp;P先行：SOP・生産国・世代を確認","ML先行：旧世代込み・先行登録を確認")))</f>
        <v/>
      </c>
      <c r="O254" s="22"/>
      <c r="P254" s="19"/>
    </row>
    <row r="255" customFormat="false" ht="15" hidden="false" customHeight="false" outlineLevel="0" collapsed="false">
      <c r="A255" s="19"/>
      <c r="B255" s="19"/>
      <c r="C255" s="19"/>
      <c r="D255" s="20"/>
      <c r="E255" s="21"/>
      <c r="F255" s="22"/>
      <c r="G255" s="22"/>
      <c r="H255" s="21"/>
      <c r="I255" s="23" t="str">
        <f aca="false">IF($D255="","",IFERROR(INDEX(モデル一覧!$D:$D,MATCH($D255,モデル一覧!$A:$A,0)),"IDなし"))</f>
        <v/>
      </c>
      <c r="J255" s="23" t="str">
        <f aca="false">IF($D255="","",IFERROR(INDEX(モデル一覧!$E:$E,MATCH($D255,モデル一覧!$A:$A,0)),"IDなし"))</f>
        <v/>
      </c>
      <c r="K255" s="24" t="str">
        <f aca="false">IF($D255="","",IFERROR(IF(INDEX(モデル一覧!$L:$L,MATCH($D255,モデル一覧!$A:$A,0))="","",DATE(INDEX(モデル一覧!$K:$K,MATCH($D255,モデル一覧!$A:$A,0)),INDEX(モデル一覧!$L:$L,MATCH($D255,モデル一覧!$A:$A,0)),1)),""))</f>
        <v/>
      </c>
      <c r="L255" s="25" t="str">
        <f aca="false">IF(OR($F255="",$G255=""),"",(YEAR($F255)-YEAR($G255))*12+MONTH($F255)-MONTH($G255))</f>
        <v/>
      </c>
      <c r="M255" s="25" t="str">
        <f aca="false">IF(OR($F255="",$K255=""),"",(YEAR($F255)-YEAR($K255))*12+MONTH($F255)-MONTH($K255))</f>
        <v/>
      </c>
      <c r="N255" s="23" t="str">
        <f aca="false">IF($L255="","",IF(ABS($L255)&lt;=3,"整合",IF($L255&gt;3,"S&amp;P先行：SOP・生産国・世代を確認","ML先行：旧世代込み・先行登録を確認")))</f>
        <v/>
      </c>
      <c r="O255" s="22"/>
      <c r="P255" s="19"/>
    </row>
    <row r="256" customFormat="false" ht="15" hidden="false" customHeight="false" outlineLevel="0" collapsed="false">
      <c r="A256" s="19"/>
      <c r="B256" s="19"/>
      <c r="C256" s="19"/>
      <c r="D256" s="20"/>
      <c r="E256" s="21"/>
      <c r="F256" s="22"/>
      <c r="G256" s="22"/>
      <c r="H256" s="21"/>
      <c r="I256" s="23" t="str">
        <f aca="false">IF($D256="","",IFERROR(INDEX(モデル一覧!$D:$D,MATCH($D256,モデル一覧!$A:$A,0)),"IDなし"))</f>
        <v/>
      </c>
      <c r="J256" s="23" t="str">
        <f aca="false">IF($D256="","",IFERROR(INDEX(モデル一覧!$E:$E,MATCH($D256,モデル一覧!$A:$A,0)),"IDなし"))</f>
        <v/>
      </c>
      <c r="K256" s="24" t="str">
        <f aca="false">IF($D256="","",IFERROR(IF(INDEX(モデル一覧!$L:$L,MATCH($D256,モデル一覧!$A:$A,0))="","",DATE(INDEX(モデル一覧!$K:$K,MATCH($D256,モデル一覧!$A:$A,0)),INDEX(モデル一覧!$L:$L,MATCH($D256,モデル一覧!$A:$A,0)),1)),""))</f>
        <v/>
      </c>
      <c r="L256" s="25" t="str">
        <f aca="false">IF(OR($F256="",$G256=""),"",(YEAR($F256)-YEAR($G256))*12+MONTH($F256)-MONTH($G256))</f>
        <v/>
      </c>
      <c r="M256" s="25" t="str">
        <f aca="false">IF(OR($F256="",$K256=""),"",(YEAR($F256)-YEAR($K256))*12+MONTH($F256)-MONTH($K256))</f>
        <v/>
      </c>
      <c r="N256" s="23" t="str">
        <f aca="false">IF($L256="","",IF(ABS($L256)&lt;=3,"整合",IF($L256&gt;3,"S&amp;P先行：SOP・生産国・世代を確認","ML先行：旧世代込み・先行登録を確認")))</f>
        <v/>
      </c>
      <c r="O256" s="22"/>
      <c r="P256" s="19"/>
    </row>
    <row r="257" customFormat="false" ht="15" hidden="false" customHeight="false" outlineLevel="0" collapsed="false">
      <c r="A257" s="19"/>
      <c r="B257" s="19"/>
      <c r="C257" s="19"/>
      <c r="D257" s="20"/>
      <c r="E257" s="21"/>
      <c r="F257" s="22"/>
      <c r="G257" s="22"/>
      <c r="H257" s="21"/>
      <c r="I257" s="23" t="str">
        <f aca="false">IF($D257="","",IFERROR(INDEX(モデル一覧!$D:$D,MATCH($D257,モデル一覧!$A:$A,0)),"IDなし"))</f>
        <v/>
      </c>
      <c r="J257" s="23" t="str">
        <f aca="false">IF($D257="","",IFERROR(INDEX(モデル一覧!$E:$E,MATCH($D257,モデル一覧!$A:$A,0)),"IDなし"))</f>
        <v/>
      </c>
      <c r="K257" s="24" t="str">
        <f aca="false">IF($D257="","",IFERROR(IF(INDEX(モデル一覧!$L:$L,MATCH($D257,モデル一覧!$A:$A,0))="","",DATE(INDEX(モデル一覧!$K:$K,MATCH($D257,モデル一覧!$A:$A,0)),INDEX(モデル一覧!$L:$L,MATCH($D257,モデル一覧!$A:$A,0)),1)),""))</f>
        <v/>
      </c>
      <c r="L257" s="25" t="str">
        <f aca="false">IF(OR($F257="",$G257=""),"",(YEAR($F257)-YEAR($G257))*12+MONTH($F257)-MONTH($G257))</f>
        <v/>
      </c>
      <c r="M257" s="25" t="str">
        <f aca="false">IF(OR($F257="",$K257=""),"",(YEAR($F257)-YEAR($K257))*12+MONTH($F257)-MONTH($K257))</f>
        <v/>
      </c>
      <c r="N257" s="23" t="str">
        <f aca="false">IF($L257="","",IF(ABS($L257)&lt;=3,"整合",IF($L257&gt;3,"S&amp;P先行：SOP・生産国・世代を確認","ML先行：旧世代込み・先行登録を確認")))</f>
        <v/>
      </c>
      <c r="O257" s="22"/>
      <c r="P257" s="19"/>
    </row>
    <row r="258" customFormat="false" ht="15" hidden="false" customHeight="false" outlineLevel="0" collapsed="false">
      <c r="A258" s="19"/>
      <c r="B258" s="19"/>
      <c r="C258" s="19"/>
      <c r="D258" s="20"/>
      <c r="E258" s="21"/>
      <c r="F258" s="22"/>
      <c r="G258" s="22"/>
      <c r="H258" s="21"/>
      <c r="I258" s="23" t="str">
        <f aca="false">IF($D258="","",IFERROR(INDEX(モデル一覧!$D:$D,MATCH($D258,モデル一覧!$A:$A,0)),"IDなし"))</f>
        <v/>
      </c>
      <c r="J258" s="23" t="str">
        <f aca="false">IF($D258="","",IFERROR(INDEX(モデル一覧!$E:$E,MATCH($D258,モデル一覧!$A:$A,0)),"IDなし"))</f>
        <v/>
      </c>
      <c r="K258" s="24" t="str">
        <f aca="false">IF($D258="","",IFERROR(IF(INDEX(モデル一覧!$L:$L,MATCH($D258,モデル一覧!$A:$A,0))="","",DATE(INDEX(モデル一覧!$K:$K,MATCH($D258,モデル一覧!$A:$A,0)),INDEX(モデル一覧!$L:$L,MATCH($D258,モデル一覧!$A:$A,0)),1)),""))</f>
        <v/>
      </c>
      <c r="L258" s="25" t="str">
        <f aca="false">IF(OR($F258="",$G258=""),"",(YEAR($F258)-YEAR($G258))*12+MONTH($F258)-MONTH($G258))</f>
        <v/>
      </c>
      <c r="M258" s="25" t="str">
        <f aca="false">IF(OR($F258="",$K258=""),"",(YEAR($F258)-YEAR($K258))*12+MONTH($F258)-MONTH($K258))</f>
        <v/>
      </c>
      <c r="N258" s="23" t="str">
        <f aca="false">IF($L258="","",IF(ABS($L258)&lt;=3,"整合",IF($L258&gt;3,"S&amp;P先行：SOP・生産国・世代を確認","ML先行：旧世代込み・先行登録を確認")))</f>
        <v/>
      </c>
      <c r="O258" s="22"/>
      <c r="P258" s="19"/>
    </row>
    <row r="259" customFormat="false" ht="15" hidden="false" customHeight="false" outlineLevel="0" collapsed="false">
      <c r="A259" s="19"/>
      <c r="B259" s="19"/>
      <c r="C259" s="19"/>
      <c r="D259" s="20"/>
      <c r="E259" s="21"/>
      <c r="F259" s="22"/>
      <c r="G259" s="22"/>
      <c r="H259" s="21"/>
      <c r="I259" s="23" t="str">
        <f aca="false">IF($D259="","",IFERROR(INDEX(モデル一覧!$D:$D,MATCH($D259,モデル一覧!$A:$A,0)),"IDなし"))</f>
        <v/>
      </c>
      <c r="J259" s="23" t="str">
        <f aca="false">IF($D259="","",IFERROR(INDEX(モデル一覧!$E:$E,MATCH($D259,モデル一覧!$A:$A,0)),"IDなし"))</f>
        <v/>
      </c>
      <c r="K259" s="24" t="str">
        <f aca="false">IF($D259="","",IFERROR(IF(INDEX(モデル一覧!$L:$L,MATCH($D259,モデル一覧!$A:$A,0))="","",DATE(INDEX(モデル一覧!$K:$K,MATCH($D259,モデル一覧!$A:$A,0)),INDEX(モデル一覧!$L:$L,MATCH($D259,モデル一覧!$A:$A,0)),1)),""))</f>
        <v/>
      </c>
      <c r="L259" s="25" t="str">
        <f aca="false">IF(OR($F259="",$G259=""),"",(YEAR($F259)-YEAR($G259))*12+MONTH($F259)-MONTH($G259))</f>
        <v/>
      </c>
      <c r="M259" s="25" t="str">
        <f aca="false">IF(OR($F259="",$K259=""),"",(YEAR($F259)-YEAR($K259))*12+MONTH($F259)-MONTH($K259))</f>
        <v/>
      </c>
      <c r="N259" s="23" t="str">
        <f aca="false">IF($L259="","",IF(ABS($L259)&lt;=3,"整合",IF($L259&gt;3,"S&amp;P先行：SOP・生産国・世代を確認","ML先行：旧世代込み・先行登録を確認")))</f>
        <v/>
      </c>
      <c r="O259" s="22"/>
      <c r="P259" s="19"/>
    </row>
    <row r="260" customFormat="false" ht="15" hidden="false" customHeight="false" outlineLevel="0" collapsed="false">
      <c r="A260" s="19"/>
      <c r="B260" s="19"/>
      <c r="C260" s="19"/>
      <c r="D260" s="20"/>
      <c r="E260" s="21"/>
      <c r="F260" s="22"/>
      <c r="G260" s="22"/>
      <c r="H260" s="21"/>
      <c r="I260" s="23" t="str">
        <f aca="false">IF($D260="","",IFERROR(INDEX(モデル一覧!$D:$D,MATCH($D260,モデル一覧!$A:$A,0)),"IDなし"))</f>
        <v/>
      </c>
      <c r="J260" s="23" t="str">
        <f aca="false">IF($D260="","",IFERROR(INDEX(モデル一覧!$E:$E,MATCH($D260,モデル一覧!$A:$A,0)),"IDなし"))</f>
        <v/>
      </c>
      <c r="K260" s="24" t="str">
        <f aca="false">IF($D260="","",IFERROR(IF(INDEX(モデル一覧!$L:$L,MATCH($D260,モデル一覧!$A:$A,0))="","",DATE(INDEX(モデル一覧!$K:$K,MATCH($D260,モデル一覧!$A:$A,0)),INDEX(モデル一覧!$L:$L,MATCH($D260,モデル一覧!$A:$A,0)),1)),""))</f>
        <v/>
      </c>
      <c r="L260" s="25" t="str">
        <f aca="false">IF(OR($F260="",$G260=""),"",(YEAR($F260)-YEAR($G260))*12+MONTH($F260)-MONTH($G260))</f>
        <v/>
      </c>
      <c r="M260" s="25" t="str">
        <f aca="false">IF(OR($F260="",$K260=""),"",(YEAR($F260)-YEAR($K260))*12+MONTH($F260)-MONTH($K260))</f>
        <v/>
      </c>
      <c r="N260" s="23" t="str">
        <f aca="false">IF($L260="","",IF(ABS($L260)&lt;=3,"整合",IF($L260&gt;3,"S&amp;P先行：SOP・生産国・世代を確認","ML先行：旧世代込み・先行登録を確認")))</f>
        <v/>
      </c>
      <c r="O260" s="22"/>
      <c r="P260" s="19"/>
    </row>
    <row r="261" customFormat="false" ht="15" hidden="false" customHeight="false" outlineLevel="0" collapsed="false">
      <c r="A261" s="19"/>
      <c r="B261" s="19"/>
      <c r="C261" s="19"/>
      <c r="D261" s="20"/>
      <c r="E261" s="21"/>
      <c r="F261" s="22"/>
      <c r="G261" s="22"/>
      <c r="H261" s="21"/>
      <c r="I261" s="23" t="str">
        <f aca="false">IF($D261="","",IFERROR(INDEX(モデル一覧!$D:$D,MATCH($D261,モデル一覧!$A:$A,0)),"IDなし"))</f>
        <v/>
      </c>
      <c r="J261" s="23" t="str">
        <f aca="false">IF($D261="","",IFERROR(INDEX(モデル一覧!$E:$E,MATCH($D261,モデル一覧!$A:$A,0)),"IDなし"))</f>
        <v/>
      </c>
      <c r="K261" s="24" t="str">
        <f aca="false">IF($D261="","",IFERROR(IF(INDEX(モデル一覧!$L:$L,MATCH($D261,モデル一覧!$A:$A,0))="","",DATE(INDEX(モデル一覧!$K:$K,MATCH($D261,モデル一覧!$A:$A,0)),INDEX(モデル一覧!$L:$L,MATCH($D261,モデル一覧!$A:$A,0)),1)),""))</f>
        <v/>
      </c>
      <c r="L261" s="25" t="str">
        <f aca="false">IF(OR($F261="",$G261=""),"",(YEAR($F261)-YEAR($G261))*12+MONTH($F261)-MONTH($G261))</f>
        <v/>
      </c>
      <c r="M261" s="25" t="str">
        <f aca="false">IF(OR($F261="",$K261=""),"",(YEAR($F261)-YEAR($K261))*12+MONTH($F261)-MONTH($K261))</f>
        <v/>
      </c>
      <c r="N261" s="23" t="str">
        <f aca="false">IF($L261="","",IF(ABS($L261)&lt;=3,"整合",IF($L261&gt;3,"S&amp;P先行：SOP・生産国・世代を確認","ML先行：旧世代込み・先行登録を確認")))</f>
        <v/>
      </c>
      <c r="O261" s="22"/>
      <c r="P261" s="19"/>
    </row>
    <row r="262" customFormat="false" ht="15" hidden="false" customHeight="false" outlineLevel="0" collapsed="false">
      <c r="A262" s="19"/>
      <c r="B262" s="19"/>
      <c r="C262" s="19"/>
      <c r="D262" s="20"/>
      <c r="E262" s="21"/>
      <c r="F262" s="22"/>
      <c r="G262" s="22"/>
      <c r="H262" s="21"/>
      <c r="I262" s="23" t="str">
        <f aca="false">IF($D262="","",IFERROR(INDEX(モデル一覧!$D:$D,MATCH($D262,モデル一覧!$A:$A,0)),"IDなし"))</f>
        <v/>
      </c>
      <c r="J262" s="23" t="str">
        <f aca="false">IF($D262="","",IFERROR(INDEX(モデル一覧!$E:$E,MATCH($D262,モデル一覧!$A:$A,0)),"IDなし"))</f>
        <v/>
      </c>
      <c r="K262" s="24" t="str">
        <f aca="false">IF($D262="","",IFERROR(IF(INDEX(モデル一覧!$L:$L,MATCH($D262,モデル一覧!$A:$A,0))="","",DATE(INDEX(モデル一覧!$K:$K,MATCH($D262,モデル一覧!$A:$A,0)),INDEX(モデル一覧!$L:$L,MATCH($D262,モデル一覧!$A:$A,0)),1)),""))</f>
        <v/>
      </c>
      <c r="L262" s="25" t="str">
        <f aca="false">IF(OR($F262="",$G262=""),"",(YEAR($F262)-YEAR($G262))*12+MONTH($F262)-MONTH($G262))</f>
        <v/>
      </c>
      <c r="M262" s="25" t="str">
        <f aca="false">IF(OR($F262="",$K262=""),"",(YEAR($F262)-YEAR($K262))*12+MONTH($F262)-MONTH($K262))</f>
        <v/>
      </c>
      <c r="N262" s="23" t="str">
        <f aca="false">IF($L262="","",IF(ABS($L262)&lt;=3,"整合",IF($L262&gt;3,"S&amp;P先行：SOP・生産国・世代を確認","ML先行：旧世代込み・先行登録を確認")))</f>
        <v/>
      </c>
      <c r="O262" s="22"/>
      <c r="P262" s="19"/>
    </row>
    <row r="263" customFormat="false" ht="15" hidden="false" customHeight="false" outlineLevel="0" collapsed="false">
      <c r="A263" s="19"/>
      <c r="B263" s="19"/>
      <c r="C263" s="19"/>
      <c r="D263" s="20"/>
      <c r="E263" s="21"/>
      <c r="F263" s="22"/>
      <c r="G263" s="22"/>
      <c r="H263" s="21"/>
      <c r="I263" s="23" t="str">
        <f aca="false">IF($D263="","",IFERROR(INDEX(モデル一覧!$D:$D,MATCH($D263,モデル一覧!$A:$A,0)),"IDなし"))</f>
        <v/>
      </c>
      <c r="J263" s="23" t="str">
        <f aca="false">IF($D263="","",IFERROR(INDEX(モデル一覧!$E:$E,MATCH($D263,モデル一覧!$A:$A,0)),"IDなし"))</f>
        <v/>
      </c>
      <c r="K263" s="24" t="str">
        <f aca="false">IF($D263="","",IFERROR(IF(INDEX(モデル一覧!$L:$L,MATCH($D263,モデル一覧!$A:$A,0))="","",DATE(INDEX(モデル一覧!$K:$K,MATCH($D263,モデル一覧!$A:$A,0)),INDEX(モデル一覧!$L:$L,MATCH($D263,モデル一覧!$A:$A,0)),1)),""))</f>
        <v/>
      </c>
      <c r="L263" s="25" t="str">
        <f aca="false">IF(OR($F263="",$G263=""),"",(YEAR($F263)-YEAR($G263))*12+MONTH($F263)-MONTH($G263))</f>
        <v/>
      </c>
      <c r="M263" s="25" t="str">
        <f aca="false">IF(OR($F263="",$K263=""),"",(YEAR($F263)-YEAR($K263))*12+MONTH($F263)-MONTH($K263))</f>
        <v/>
      </c>
      <c r="N263" s="23" t="str">
        <f aca="false">IF($L263="","",IF(ABS($L263)&lt;=3,"整合",IF($L263&gt;3,"S&amp;P先行：SOP・生産国・世代を確認","ML先行：旧世代込み・先行登録を確認")))</f>
        <v/>
      </c>
      <c r="O263" s="22"/>
      <c r="P263" s="19"/>
    </row>
    <row r="264" customFormat="false" ht="15" hidden="false" customHeight="false" outlineLevel="0" collapsed="false">
      <c r="A264" s="19"/>
      <c r="B264" s="19"/>
      <c r="C264" s="19"/>
      <c r="D264" s="20"/>
      <c r="E264" s="21"/>
      <c r="F264" s="22"/>
      <c r="G264" s="22"/>
      <c r="H264" s="21"/>
      <c r="I264" s="23" t="str">
        <f aca="false">IF($D264="","",IFERROR(INDEX(モデル一覧!$D:$D,MATCH($D264,モデル一覧!$A:$A,0)),"IDなし"))</f>
        <v/>
      </c>
      <c r="J264" s="23" t="str">
        <f aca="false">IF($D264="","",IFERROR(INDEX(モデル一覧!$E:$E,MATCH($D264,モデル一覧!$A:$A,0)),"IDなし"))</f>
        <v/>
      </c>
      <c r="K264" s="24" t="str">
        <f aca="false">IF($D264="","",IFERROR(IF(INDEX(モデル一覧!$L:$L,MATCH($D264,モデル一覧!$A:$A,0))="","",DATE(INDEX(モデル一覧!$K:$K,MATCH($D264,モデル一覧!$A:$A,0)),INDEX(モデル一覧!$L:$L,MATCH($D264,モデル一覧!$A:$A,0)),1)),""))</f>
        <v/>
      </c>
      <c r="L264" s="25" t="str">
        <f aca="false">IF(OR($F264="",$G264=""),"",(YEAR($F264)-YEAR($G264))*12+MONTH($F264)-MONTH($G264))</f>
        <v/>
      </c>
      <c r="M264" s="25" t="str">
        <f aca="false">IF(OR($F264="",$K264=""),"",(YEAR($F264)-YEAR($K264))*12+MONTH($F264)-MONTH($K264))</f>
        <v/>
      </c>
      <c r="N264" s="23" t="str">
        <f aca="false">IF($L264="","",IF(ABS($L264)&lt;=3,"整合",IF($L264&gt;3,"S&amp;P先行：SOP・生産国・世代を確認","ML先行：旧世代込み・先行登録を確認")))</f>
        <v/>
      </c>
      <c r="O264" s="22"/>
      <c r="P264" s="19"/>
    </row>
    <row r="265" customFormat="false" ht="15" hidden="false" customHeight="false" outlineLevel="0" collapsed="false">
      <c r="A265" s="19"/>
      <c r="B265" s="19"/>
      <c r="C265" s="19"/>
      <c r="D265" s="20"/>
      <c r="E265" s="21"/>
      <c r="F265" s="22"/>
      <c r="G265" s="22"/>
      <c r="H265" s="21"/>
      <c r="I265" s="23" t="str">
        <f aca="false">IF($D265="","",IFERROR(INDEX(モデル一覧!$D:$D,MATCH($D265,モデル一覧!$A:$A,0)),"IDなし"))</f>
        <v/>
      </c>
      <c r="J265" s="23" t="str">
        <f aca="false">IF($D265="","",IFERROR(INDEX(モデル一覧!$E:$E,MATCH($D265,モデル一覧!$A:$A,0)),"IDなし"))</f>
        <v/>
      </c>
      <c r="K265" s="24" t="str">
        <f aca="false">IF($D265="","",IFERROR(IF(INDEX(モデル一覧!$L:$L,MATCH($D265,モデル一覧!$A:$A,0))="","",DATE(INDEX(モデル一覧!$K:$K,MATCH($D265,モデル一覧!$A:$A,0)),INDEX(モデル一覧!$L:$L,MATCH($D265,モデル一覧!$A:$A,0)),1)),""))</f>
        <v/>
      </c>
      <c r="L265" s="25" t="str">
        <f aca="false">IF(OR($F265="",$G265=""),"",(YEAR($F265)-YEAR($G265))*12+MONTH($F265)-MONTH($G265))</f>
        <v/>
      </c>
      <c r="M265" s="25" t="str">
        <f aca="false">IF(OR($F265="",$K265=""),"",(YEAR($F265)-YEAR($K265))*12+MONTH($F265)-MONTH($K265))</f>
        <v/>
      </c>
      <c r="N265" s="23" t="str">
        <f aca="false">IF($L265="","",IF(ABS($L265)&lt;=3,"整合",IF($L265&gt;3,"S&amp;P先行：SOP・生産国・世代を確認","ML先行：旧世代込み・先行登録を確認")))</f>
        <v/>
      </c>
      <c r="O265" s="22"/>
      <c r="P265" s="19"/>
    </row>
    <row r="266" customFormat="false" ht="15" hidden="false" customHeight="false" outlineLevel="0" collapsed="false">
      <c r="A266" s="19"/>
      <c r="B266" s="19"/>
      <c r="C266" s="19"/>
      <c r="D266" s="20"/>
      <c r="E266" s="21"/>
      <c r="F266" s="22"/>
      <c r="G266" s="22"/>
      <c r="H266" s="21"/>
      <c r="I266" s="23" t="str">
        <f aca="false">IF($D266="","",IFERROR(INDEX(モデル一覧!$D:$D,MATCH($D266,モデル一覧!$A:$A,0)),"IDなし"))</f>
        <v/>
      </c>
      <c r="J266" s="23" t="str">
        <f aca="false">IF($D266="","",IFERROR(INDEX(モデル一覧!$E:$E,MATCH($D266,モデル一覧!$A:$A,0)),"IDなし"))</f>
        <v/>
      </c>
      <c r="K266" s="24" t="str">
        <f aca="false">IF($D266="","",IFERROR(IF(INDEX(モデル一覧!$L:$L,MATCH($D266,モデル一覧!$A:$A,0))="","",DATE(INDEX(モデル一覧!$K:$K,MATCH($D266,モデル一覧!$A:$A,0)),INDEX(モデル一覧!$L:$L,MATCH($D266,モデル一覧!$A:$A,0)),1)),""))</f>
        <v/>
      </c>
      <c r="L266" s="25" t="str">
        <f aca="false">IF(OR($F266="",$G266=""),"",(YEAR($F266)-YEAR($G266))*12+MONTH($F266)-MONTH($G266))</f>
        <v/>
      </c>
      <c r="M266" s="25" t="str">
        <f aca="false">IF(OR($F266="",$K266=""),"",(YEAR($F266)-YEAR($K266))*12+MONTH($F266)-MONTH($K266))</f>
        <v/>
      </c>
      <c r="N266" s="23" t="str">
        <f aca="false">IF($L266="","",IF(ABS($L266)&lt;=3,"整合",IF($L266&gt;3,"S&amp;P先行：SOP・生産国・世代を確認","ML先行：旧世代込み・先行登録を確認")))</f>
        <v/>
      </c>
      <c r="O266" s="22"/>
      <c r="P266" s="19"/>
    </row>
    <row r="267" customFormat="false" ht="15" hidden="false" customHeight="false" outlineLevel="0" collapsed="false">
      <c r="A267" s="19"/>
      <c r="B267" s="19"/>
      <c r="C267" s="19"/>
      <c r="D267" s="20"/>
      <c r="E267" s="21"/>
      <c r="F267" s="22"/>
      <c r="G267" s="22"/>
      <c r="H267" s="21"/>
      <c r="I267" s="23" t="str">
        <f aca="false">IF($D267="","",IFERROR(INDEX(モデル一覧!$D:$D,MATCH($D267,モデル一覧!$A:$A,0)),"IDなし"))</f>
        <v/>
      </c>
      <c r="J267" s="23" t="str">
        <f aca="false">IF($D267="","",IFERROR(INDEX(モデル一覧!$E:$E,MATCH($D267,モデル一覧!$A:$A,0)),"IDなし"))</f>
        <v/>
      </c>
      <c r="K267" s="24" t="str">
        <f aca="false">IF($D267="","",IFERROR(IF(INDEX(モデル一覧!$L:$L,MATCH($D267,モデル一覧!$A:$A,0))="","",DATE(INDEX(モデル一覧!$K:$K,MATCH($D267,モデル一覧!$A:$A,0)),INDEX(モデル一覧!$L:$L,MATCH($D267,モデル一覧!$A:$A,0)),1)),""))</f>
        <v/>
      </c>
      <c r="L267" s="25" t="str">
        <f aca="false">IF(OR($F267="",$G267=""),"",(YEAR($F267)-YEAR($G267))*12+MONTH($F267)-MONTH($G267))</f>
        <v/>
      </c>
      <c r="M267" s="25" t="str">
        <f aca="false">IF(OR($F267="",$K267=""),"",(YEAR($F267)-YEAR($K267))*12+MONTH($F267)-MONTH($K267))</f>
        <v/>
      </c>
      <c r="N267" s="23" t="str">
        <f aca="false">IF($L267="","",IF(ABS($L267)&lt;=3,"整合",IF($L267&gt;3,"S&amp;P先行：SOP・生産国・世代を確認","ML先行：旧世代込み・先行登録を確認")))</f>
        <v/>
      </c>
      <c r="O267" s="22"/>
      <c r="P267" s="19"/>
    </row>
    <row r="268" customFormat="false" ht="15" hidden="false" customHeight="false" outlineLevel="0" collapsed="false">
      <c r="A268" s="19"/>
      <c r="B268" s="19"/>
      <c r="C268" s="19"/>
      <c r="D268" s="20"/>
      <c r="E268" s="21"/>
      <c r="F268" s="22"/>
      <c r="G268" s="22"/>
      <c r="H268" s="21"/>
      <c r="I268" s="23" t="str">
        <f aca="false">IF($D268="","",IFERROR(INDEX(モデル一覧!$D:$D,MATCH($D268,モデル一覧!$A:$A,0)),"IDなし"))</f>
        <v/>
      </c>
      <c r="J268" s="23" t="str">
        <f aca="false">IF($D268="","",IFERROR(INDEX(モデル一覧!$E:$E,MATCH($D268,モデル一覧!$A:$A,0)),"IDなし"))</f>
        <v/>
      </c>
      <c r="K268" s="24" t="str">
        <f aca="false">IF($D268="","",IFERROR(IF(INDEX(モデル一覧!$L:$L,MATCH($D268,モデル一覧!$A:$A,0))="","",DATE(INDEX(モデル一覧!$K:$K,MATCH($D268,モデル一覧!$A:$A,0)),INDEX(モデル一覧!$L:$L,MATCH($D268,モデル一覧!$A:$A,0)),1)),""))</f>
        <v/>
      </c>
      <c r="L268" s="25" t="str">
        <f aca="false">IF(OR($F268="",$G268=""),"",(YEAR($F268)-YEAR($G268))*12+MONTH($F268)-MONTH($G268))</f>
        <v/>
      </c>
      <c r="M268" s="25" t="str">
        <f aca="false">IF(OR($F268="",$K268=""),"",(YEAR($F268)-YEAR($K268))*12+MONTH($F268)-MONTH($K268))</f>
        <v/>
      </c>
      <c r="N268" s="23" t="str">
        <f aca="false">IF($L268="","",IF(ABS($L268)&lt;=3,"整合",IF($L268&gt;3,"S&amp;P先行：SOP・生産国・世代を確認","ML先行：旧世代込み・先行登録を確認")))</f>
        <v/>
      </c>
      <c r="O268" s="22"/>
      <c r="P268" s="19"/>
    </row>
    <row r="269" customFormat="false" ht="15" hidden="false" customHeight="false" outlineLevel="0" collapsed="false">
      <c r="A269" s="19"/>
      <c r="B269" s="19"/>
      <c r="C269" s="19"/>
      <c r="D269" s="20"/>
      <c r="E269" s="21"/>
      <c r="F269" s="22"/>
      <c r="G269" s="22"/>
      <c r="H269" s="21"/>
      <c r="I269" s="23" t="str">
        <f aca="false">IF($D269="","",IFERROR(INDEX(モデル一覧!$D:$D,MATCH($D269,モデル一覧!$A:$A,0)),"IDなし"))</f>
        <v/>
      </c>
      <c r="J269" s="23" t="str">
        <f aca="false">IF($D269="","",IFERROR(INDEX(モデル一覧!$E:$E,MATCH($D269,モデル一覧!$A:$A,0)),"IDなし"))</f>
        <v/>
      </c>
      <c r="K269" s="24" t="str">
        <f aca="false">IF($D269="","",IFERROR(IF(INDEX(モデル一覧!$L:$L,MATCH($D269,モデル一覧!$A:$A,0))="","",DATE(INDEX(モデル一覧!$K:$K,MATCH($D269,モデル一覧!$A:$A,0)),INDEX(モデル一覧!$L:$L,MATCH($D269,モデル一覧!$A:$A,0)),1)),""))</f>
        <v/>
      </c>
      <c r="L269" s="25" t="str">
        <f aca="false">IF(OR($F269="",$G269=""),"",(YEAR($F269)-YEAR($G269))*12+MONTH($F269)-MONTH($G269))</f>
        <v/>
      </c>
      <c r="M269" s="25" t="str">
        <f aca="false">IF(OR($F269="",$K269=""),"",(YEAR($F269)-YEAR($K269))*12+MONTH($F269)-MONTH($K269))</f>
        <v/>
      </c>
      <c r="N269" s="23" t="str">
        <f aca="false">IF($L269="","",IF(ABS($L269)&lt;=3,"整合",IF($L269&gt;3,"S&amp;P先行：SOP・生産国・世代を確認","ML先行：旧世代込み・先行登録を確認")))</f>
        <v/>
      </c>
      <c r="O269" s="22"/>
      <c r="P269" s="19"/>
    </row>
    <row r="270" customFormat="false" ht="15" hidden="false" customHeight="false" outlineLevel="0" collapsed="false">
      <c r="A270" s="19"/>
      <c r="B270" s="19"/>
      <c r="C270" s="19"/>
      <c r="D270" s="20"/>
      <c r="E270" s="21"/>
      <c r="F270" s="22"/>
      <c r="G270" s="22"/>
      <c r="H270" s="21"/>
      <c r="I270" s="23" t="str">
        <f aca="false">IF($D270="","",IFERROR(INDEX(モデル一覧!$D:$D,MATCH($D270,モデル一覧!$A:$A,0)),"IDなし"))</f>
        <v/>
      </c>
      <c r="J270" s="23" t="str">
        <f aca="false">IF($D270="","",IFERROR(INDEX(モデル一覧!$E:$E,MATCH($D270,モデル一覧!$A:$A,0)),"IDなし"))</f>
        <v/>
      </c>
      <c r="K270" s="24" t="str">
        <f aca="false">IF($D270="","",IFERROR(IF(INDEX(モデル一覧!$L:$L,MATCH($D270,モデル一覧!$A:$A,0))="","",DATE(INDEX(モデル一覧!$K:$K,MATCH($D270,モデル一覧!$A:$A,0)),INDEX(モデル一覧!$L:$L,MATCH($D270,モデル一覧!$A:$A,0)),1)),""))</f>
        <v/>
      </c>
      <c r="L270" s="25" t="str">
        <f aca="false">IF(OR($F270="",$G270=""),"",(YEAR($F270)-YEAR($G270))*12+MONTH($F270)-MONTH($G270))</f>
        <v/>
      </c>
      <c r="M270" s="25" t="str">
        <f aca="false">IF(OR($F270="",$K270=""),"",(YEAR($F270)-YEAR($K270))*12+MONTH($F270)-MONTH($K270))</f>
        <v/>
      </c>
      <c r="N270" s="23" t="str">
        <f aca="false">IF($L270="","",IF(ABS($L270)&lt;=3,"整合",IF($L270&gt;3,"S&amp;P先行：SOP・生産国・世代を確認","ML先行：旧世代込み・先行登録を確認")))</f>
        <v/>
      </c>
      <c r="O270" s="22"/>
      <c r="P270" s="19"/>
    </row>
    <row r="271" customFormat="false" ht="15" hidden="false" customHeight="false" outlineLevel="0" collapsed="false">
      <c r="A271" s="19"/>
      <c r="B271" s="19"/>
      <c r="C271" s="19"/>
      <c r="D271" s="20"/>
      <c r="E271" s="21"/>
      <c r="F271" s="22"/>
      <c r="G271" s="22"/>
      <c r="H271" s="21"/>
      <c r="I271" s="23" t="str">
        <f aca="false">IF($D271="","",IFERROR(INDEX(モデル一覧!$D:$D,MATCH($D271,モデル一覧!$A:$A,0)),"IDなし"))</f>
        <v/>
      </c>
      <c r="J271" s="23" t="str">
        <f aca="false">IF($D271="","",IFERROR(INDEX(モデル一覧!$E:$E,MATCH($D271,モデル一覧!$A:$A,0)),"IDなし"))</f>
        <v/>
      </c>
      <c r="K271" s="24" t="str">
        <f aca="false">IF($D271="","",IFERROR(IF(INDEX(モデル一覧!$L:$L,MATCH($D271,モデル一覧!$A:$A,0))="","",DATE(INDEX(モデル一覧!$K:$K,MATCH($D271,モデル一覧!$A:$A,0)),INDEX(モデル一覧!$L:$L,MATCH($D271,モデル一覧!$A:$A,0)),1)),""))</f>
        <v/>
      </c>
      <c r="L271" s="25" t="str">
        <f aca="false">IF(OR($F271="",$G271=""),"",(YEAR($F271)-YEAR($G271))*12+MONTH($F271)-MONTH($G271))</f>
        <v/>
      </c>
      <c r="M271" s="25" t="str">
        <f aca="false">IF(OR($F271="",$K271=""),"",(YEAR($F271)-YEAR($K271))*12+MONTH($F271)-MONTH($K271))</f>
        <v/>
      </c>
      <c r="N271" s="23" t="str">
        <f aca="false">IF($L271="","",IF(ABS($L271)&lt;=3,"整合",IF($L271&gt;3,"S&amp;P先行：SOP・生産国・世代を確認","ML先行：旧世代込み・先行登録を確認")))</f>
        <v/>
      </c>
      <c r="O271" s="22"/>
      <c r="P271" s="19"/>
    </row>
    <row r="272" customFormat="false" ht="15" hidden="false" customHeight="false" outlineLevel="0" collapsed="false">
      <c r="A272" s="19"/>
      <c r="B272" s="19"/>
      <c r="C272" s="19"/>
      <c r="D272" s="20"/>
      <c r="E272" s="21"/>
      <c r="F272" s="22"/>
      <c r="G272" s="22"/>
      <c r="H272" s="21"/>
      <c r="I272" s="23" t="str">
        <f aca="false">IF($D272="","",IFERROR(INDEX(モデル一覧!$D:$D,MATCH($D272,モデル一覧!$A:$A,0)),"IDなし"))</f>
        <v/>
      </c>
      <c r="J272" s="23" t="str">
        <f aca="false">IF($D272="","",IFERROR(INDEX(モデル一覧!$E:$E,MATCH($D272,モデル一覧!$A:$A,0)),"IDなし"))</f>
        <v/>
      </c>
      <c r="K272" s="24" t="str">
        <f aca="false">IF($D272="","",IFERROR(IF(INDEX(モデル一覧!$L:$L,MATCH($D272,モデル一覧!$A:$A,0))="","",DATE(INDEX(モデル一覧!$K:$K,MATCH($D272,モデル一覧!$A:$A,0)),INDEX(モデル一覧!$L:$L,MATCH($D272,モデル一覧!$A:$A,0)),1)),""))</f>
        <v/>
      </c>
      <c r="L272" s="25" t="str">
        <f aca="false">IF(OR($F272="",$G272=""),"",(YEAR($F272)-YEAR($G272))*12+MONTH($F272)-MONTH($G272))</f>
        <v/>
      </c>
      <c r="M272" s="25" t="str">
        <f aca="false">IF(OR($F272="",$K272=""),"",(YEAR($F272)-YEAR($K272))*12+MONTH($F272)-MONTH($K272))</f>
        <v/>
      </c>
      <c r="N272" s="23" t="str">
        <f aca="false">IF($L272="","",IF(ABS($L272)&lt;=3,"整合",IF($L272&gt;3,"S&amp;P先行：SOP・生産国・世代を確認","ML先行：旧世代込み・先行登録を確認")))</f>
        <v/>
      </c>
      <c r="O272" s="22"/>
      <c r="P272" s="19"/>
    </row>
    <row r="273" customFormat="false" ht="15" hidden="false" customHeight="false" outlineLevel="0" collapsed="false">
      <c r="A273" s="19"/>
      <c r="B273" s="19"/>
      <c r="C273" s="19"/>
      <c r="D273" s="20"/>
      <c r="E273" s="21"/>
      <c r="F273" s="22"/>
      <c r="G273" s="22"/>
      <c r="H273" s="21"/>
      <c r="I273" s="23" t="str">
        <f aca="false">IF($D273="","",IFERROR(INDEX(モデル一覧!$D:$D,MATCH($D273,モデル一覧!$A:$A,0)),"IDなし"))</f>
        <v/>
      </c>
      <c r="J273" s="23" t="str">
        <f aca="false">IF($D273="","",IFERROR(INDEX(モデル一覧!$E:$E,MATCH($D273,モデル一覧!$A:$A,0)),"IDなし"))</f>
        <v/>
      </c>
      <c r="K273" s="24" t="str">
        <f aca="false">IF($D273="","",IFERROR(IF(INDEX(モデル一覧!$L:$L,MATCH($D273,モデル一覧!$A:$A,0))="","",DATE(INDEX(モデル一覧!$K:$K,MATCH($D273,モデル一覧!$A:$A,0)),INDEX(モデル一覧!$L:$L,MATCH($D273,モデル一覧!$A:$A,0)),1)),""))</f>
        <v/>
      </c>
      <c r="L273" s="25" t="str">
        <f aca="false">IF(OR($F273="",$G273=""),"",(YEAR($F273)-YEAR($G273))*12+MONTH($F273)-MONTH($G273))</f>
        <v/>
      </c>
      <c r="M273" s="25" t="str">
        <f aca="false">IF(OR($F273="",$K273=""),"",(YEAR($F273)-YEAR($K273))*12+MONTH($F273)-MONTH($K273))</f>
        <v/>
      </c>
      <c r="N273" s="23" t="str">
        <f aca="false">IF($L273="","",IF(ABS($L273)&lt;=3,"整合",IF($L273&gt;3,"S&amp;P先行：SOP・生産国・世代を確認","ML先行：旧世代込み・先行登録を確認")))</f>
        <v/>
      </c>
      <c r="O273" s="22"/>
      <c r="P273" s="19"/>
    </row>
    <row r="274" customFormat="false" ht="15" hidden="false" customHeight="false" outlineLevel="0" collapsed="false">
      <c r="A274" s="19"/>
      <c r="B274" s="19"/>
      <c r="C274" s="19"/>
      <c r="D274" s="20"/>
      <c r="E274" s="21"/>
      <c r="F274" s="22"/>
      <c r="G274" s="22"/>
      <c r="H274" s="21"/>
      <c r="I274" s="23" t="str">
        <f aca="false">IF($D274="","",IFERROR(INDEX(モデル一覧!$D:$D,MATCH($D274,モデル一覧!$A:$A,0)),"IDなし"))</f>
        <v/>
      </c>
      <c r="J274" s="23" t="str">
        <f aca="false">IF($D274="","",IFERROR(INDEX(モデル一覧!$E:$E,MATCH($D274,モデル一覧!$A:$A,0)),"IDなし"))</f>
        <v/>
      </c>
      <c r="K274" s="24" t="str">
        <f aca="false">IF($D274="","",IFERROR(IF(INDEX(モデル一覧!$L:$L,MATCH($D274,モデル一覧!$A:$A,0))="","",DATE(INDEX(モデル一覧!$K:$K,MATCH($D274,モデル一覧!$A:$A,0)),INDEX(モデル一覧!$L:$L,MATCH($D274,モデル一覧!$A:$A,0)),1)),""))</f>
        <v/>
      </c>
      <c r="L274" s="25" t="str">
        <f aca="false">IF(OR($F274="",$G274=""),"",(YEAR($F274)-YEAR($G274))*12+MONTH($F274)-MONTH($G274))</f>
        <v/>
      </c>
      <c r="M274" s="25" t="str">
        <f aca="false">IF(OR($F274="",$K274=""),"",(YEAR($F274)-YEAR($K274))*12+MONTH($F274)-MONTH($K274))</f>
        <v/>
      </c>
      <c r="N274" s="23" t="str">
        <f aca="false">IF($L274="","",IF(ABS($L274)&lt;=3,"整合",IF($L274&gt;3,"S&amp;P先行：SOP・生産国・世代を確認","ML先行：旧世代込み・先行登録を確認")))</f>
        <v/>
      </c>
      <c r="O274" s="22"/>
      <c r="P274" s="19"/>
    </row>
    <row r="275" customFormat="false" ht="15" hidden="false" customHeight="false" outlineLevel="0" collapsed="false">
      <c r="A275" s="19"/>
      <c r="B275" s="19"/>
      <c r="C275" s="19"/>
      <c r="D275" s="20"/>
      <c r="E275" s="21"/>
      <c r="F275" s="22"/>
      <c r="G275" s="22"/>
      <c r="H275" s="21"/>
      <c r="I275" s="23" t="str">
        <f aca="false">IF($D275="","",IFERROR(INDEX(モデル一覧!$D:$D,MATCH($D275,モデル一覧!$A:$A,0)),"IDなし"))</f>
        <v/>
      </c>
      <c r="J275" s="23" t="str">
        <f aca="false">IF($D275="","",IFERROR(INDEX(モデル一覧!$E:$E,MATCH($D275,モデル一覧!$A:$A,0)),"IDなし"))</f>
        <v/>
      </c>
      <c r="K275" s="24" t="str">
        <f aca="false">IF($D275="","",IFERROR(IF(INDEX(モデル一覧!$L:$L,MATCH($D275,モデル一覧!$A:$A,0))="","",DATE(INDEX(モデル一覧!$K:$K,MATCH($D275,モデル一覧!$A:$A,0)),INDEX(モデル一覧!$L:$L,MATCH($D275,モデル一覧!$A:$A,0)),1)),""))</f>
        <v/>
      </c>
      <c r="L275" s="25" t="str">
        <f aca="false">IF(OR($F275="",$G275=""),"",(YEAR($F275)-YEAR($G275))*12+MONTH($F275)-MONTH($G275))</f>
        <v/>
      </c>
      <c r="M275" s="25" t="str">
        <f aca="false">IF(OR($F275="",$K275=""),"",(YEAR($F275)-YEAR($K275))*12+MONTH($F275)-MONTH($K275))</f>
        <v/>
      </c>
      <c r="N275" s="23" t="str">
        <f aca="false">IF($L275="","",IF(ABS($L275)&lt;=3,"整合",IF($L275&gt;3,"S&amp;P先行：SOP・生産国・世代を確認","ML先行：旧世代込み・先行登録を確認")))</f>
        <v/>
      </c>
      <c r="O275" s="22"/>
      <c r="P275" s="19"/>
    </row>
    <row r="276" customFormat="false" ht="15" hidden="false" customHeight="false" outlineLevel="0" collapsed="false">
      <c r="A276" s="19"/>
      <c r="B276" s="19"/>
      <c r="C276" s="19"/>
      <c r="D276" s="20"/>
      <c r="E276" s="21"/>
      <c r="F276" s="22"/>
      <c r="G276" s="22"/>
      <c r="H276" s="21"/>
      <c r="I276" s="23" t="str">
        <f aca="false">IF($D276="","",IFERROR(INDEX(モデル一覧!$D:$D,MATCH($D276,モデル一覧!$A:$A,0)),"IDなし"))</f>
        <v/>
      </c>
      <c r="J276" s="23" t="str">
        <f aca="false">IF($D276="","",IFERROR(INDEX(モデル一覧!$E:$E,MATCH($D276,モデル一覧!$A:$A,0)),"IDなし"))</f>
        <v/>
      </c>
      <c r="K276" s="24" t="str">
        <f aca="false">IF($D276="","",IFERROR(IF(INDEX(モデル一覧!$L:$L,MATCH($D276,モデル一覧!$A:$A,0))="","",DATE(INDEX(モデル一覧!$K:$K,MATCH($D276,モデル一覧!$A:$A,0)),INDEX(モデル一覧!$L:$L,MATCH($D276,モデル一覧!$A:$A,0)),1)),""))</f>
        <v/>
      </c>
      <c r="L276" s="25" t="str">
        <f aca="false">IF(OR($F276="",$G276=""),"",(YEAR($F276)-YEAR($G276))*12+MONTH($F276)-MONTH($G276))</f>
        <v/>
      </c>
      <c r="M276" s="25" t="str">
        <f aca="false">IF(OR($F276="",$K276=""),"",(YEAR($F276)-YEAR($K276))*12+MONTH($F276)-MONTH($K276))</f>
        <v/>
      </c>
      <c r="N276" s="23" t="str">
        <f aca="false">IF($L276="","",IF(ABS($L276)&lt;=3,"整合",IF($L276&gt;3,"S&amp;P先行：SOP・生産国・世代を確認","ML先行：旧世代込み・先行登録を確認")))</f>
        <v/>
      </c>
      <c r="O276" s="22"/>
      <c r="P276" s="19"/>
    </row>
    <row r="277" customFormat="false" ht="15" hidden="false" customHeight="false" outlineLevel="0" collapsed="false">
      <c r="A277" s="19"/>
      <c r="B277" s="19"/>
      <c r="C277" s="19"/>
      <c r="D277" s="20"/>
      <c r="E277" s="21"/>
      <c r="F277" s="22"/>
      <c r="G277" s="22"/>
      <c r="H277" s="21"/>
      <c r="I277" s="23" t="str">
        <f aca="false">IF($D277="","",IFERROR(INDEX(モデル一覧!$D:$D,MATCH($D277,モデル一覧!$A:$A,0)),"IDなし"))</f>
        <v/>
      </c>
      <c r="J277" s="23" t="str">
        <f aca="false">IF($D277="","",IFERROR(INDEX(モデル一覧!$E:$E,MATCH($D277,モデル一覧!$A:$A,0)),"IDなし"))</f>
        <v/>
      </c>
      <c r="K277" s="24" t="str">
        <f aca="false">IF($D277="","",IFERROR(IF(INDEX(モデル一覧!$L:$L,MATCH($D277,モデル一覧!$A:$A,0))="","",DATE(INDEX(モデル一覧!$K:$K,MATCH($D277,モデル一覧!$A:$A,0)),INDEX(モデル一覧!$L:$L,MATCH($D277,モデル一覧!$A:$A,0)),1)),""))</f>
        <v/>
      </c>
      <c r="L277" s="25" t="str">
        <f aca="false">IF(OR($F277="",$G277=""),"",(YEAR($F277)-YEAR($G277))*12+MONTH($F277)-MONTH($G277))</f>
        <v/>
      </c>
      <c r="M277" s="25" t="str">
        <f aca="false">IF(OR($F277="",$K277=""),"",(YEAR($F277)-YEAR($K277))*12+MONTH($F277)-MONTH($K277))</f>
        <v/>
      </c>
      <c r="N277" s="23" t="str">
        <f aca="false">IF($L277="","",IF(ABS($L277)&lt;=3,"整合",IF($L277&gt;3,"S&amp;P先行：SOP・生産国・世代を確認","ML先行：旧世代込み・先行登録を確認")))</f>
        <v/>
      </c>
      <c r="O277" s="22"/>
      <c r="P277" s="19"/>
    </row>
    <row r="278" customFormat="false" ht="15" hidden="false" customHeight="false" outlineLevel="0" collapsed="false">
      <c r="A278" s="19"/>
      <c r="B278" s="19"/>
      <c r="C278" s="19"/>
      <c r="D278" s="20"/>
      <c r="E278" s="21"/>
      <c r="F278" s="22"/>
      <c r="G278" s="22"/>
      <c r="H278" s="21"/>
      <c r="I278" s="23" t="str">
        <f aca="false">IF($D278="","",IFERROR(INDEX(モデル一覧!$D:$D,MATCH($D278,モデル一覧!$A:$A,0)),"IDなし"))</f>
        <v/>
      </c>
      <c r="J278" s="23" t="str">
        <f aca="false">IF($D278="","",IFERROR(INDEX(モデル一覧!$E:$E,MATCH($D278,モデル一覧!$A:$A,0)),"IDなし"))</f>
        <v/>
      </c>
      <c r="K278" s="24" t="str">
        <f aca="false">IF($D278="","",IFERROR(IF(INDEX(モデル一覧!$L:$L,MATCH($D278,モデル一覧!$A:$A,0))="","",DATE(INDEX(モデル一覧!$K:$K,MATCH($D278,モデル一覧!$A:$A,0)),INDEX(モデル一覧!$L:$L,MATCH($D278,モデル一覧!$A:$A,0)),1)),""))</f>
        <v/>
      </c>
      <c r="L278" s="25" t="str">
        <f aca="false">IF(OR($F278="",$G278=""),"",(YEAR($F278)-YEAR($G278))*12+MONTH($F278)-MONTH($G278))</f>
        <v/>
      </c>
      <c r="M278" s="25" t="str">
        <f aca="false">IF(OR($F278="",$K278=""),"",(YEAR($F278)-YEAR($K278))*12+MONTH($F278)-MONTH($K278))</f>
        <v/>
      </c>
      <c r="N278" s="23" t="str">
        <f aca="false">IF($L278="","",IF(ABS($L278)&lt;=3,"整合",IF($L278&gt;3,"S&amp;P先行：SOP・生産国・世代を確認","ML先行：旧世代込み・先行登録を確認")))</f>
        <v/>
      </c>
      <c r="O278" s="22"/>
      <c r="P278" s="19"/>
    </row>
    <row r="279" customFormat="false" ht="15" hidden="false" customHeight="false" outlineLevel="0" collapsed="false">
      <c r="A279" s="19"/>
      <c r="B279" s="19"/>
      <c r="C279" s="19"/>
      <c r="D279" s="20"/>
      <c r="E279" s="21"/>
      <c r="F279" s="22"/>
      <c r="G279" s="22"/>
      <c r="H279" s="21"/>
      <c r="I279" s="23" t="str">
        <f aca="false">IF($D279="","",IFERROR(INDEX(モデル一覧!$D:$D,MATCH($D279,モデル一覧!$A:$A,0)),"IDなし"))</f>
        <v/>
      </c>
      <c r="J279" s="23" t="str">
        <f aca="false">IF($D279="","",IFERROR(INDEX(モデル一覧!$E:$E,MATCH($D279,モデル一覧!$A:$A,0)),"IDなし"))</f>
        <v/>
      </c>
      <c r="K279" s="24" t="str">
        <f aca="false">IF($D279="","",IFERROR(IF(INDEX(モデル一覧!$L:$L,MATCH($D279,モデル一覧!$A:$A,0))="","",DATE(INDEX(モデル一覧!$K:$K,MATCH($D279,モデル一覧!$A:$A,0)),INDEX(モデル一覧!$L:$L,MATCH($D279,モデル一覧!$A:$A,0)),1)),""))</f>
        <v/>
      </c>
      <c r="L279" s="25" t="str">
        <f aca="false">IF(OR($F279="",$G279=""),"",(YEAR($F279)-YEAR($G279))*12+MONTH($F279)-MONTH($G279))</f>
        <v/>
      </c>
      <c r="M279" s="25" t="str">
        <f aca="false">IF(OR($F279="",$K279=""),"",(YEAR($F279)-YEAR($K279))*12+MONTH($F279)-MONTH($K279))</f>
        <v/>
      </c>
      <c r="N279" s="23" t="str">
        <f aca="false">IF($L279="","",IF(ABS($L279)&lt;=3,"整合",IF($L279&gt;3,"S&amp;P先行：SOP・生産国・世代を確認","ML先行：旧世代込み・先行登録を確認")))</f>
        <v/>
      </c>
      <c r="O279" s="22"/>
      <c r="P279" s="19"/>
    </row>
    <row r="280" customFormat="false" ht="15" hidden="false" customHeight="false" outlineLevel="0" collapsed="false">
      <c r="A280" s="19"/>
      <c r="B280" s="19"/>
      <c r="C280" s="19"/>
      <c r="D280" s="20"/>
      <c r="E280" s="21"/>
      <c r="F280" s="22"/>
      <c r="G280" s="22"/>
      <c r="H280" s="21"/>
      <c r="I280" s="23" t="str">
        <f aca="false">IF($D280="","",IFERROR(INDEX(モデル一覧!$D:$D,MATCH($D280,モデル一覧!$A:$A,0)),"IDなし"))</f>
        <v/>
      </c>
      <c r="J280" s="23" t="str">
        <f aca="false">IF($D280="","",IFERROR(INDEX(モデル一覧!$E:$E,MATCH($D280,モデル一覧!$A:$A,0)),"IDなし"))</f>
        <v/>
      </c>
      <c r="K280" s="24" t="str">
        <f aca="false">IF($D280="","",IFERROR(IF(INDEX(モデル一覧!$L:$L,MATCH($D280,モデル一覧!$A:$A,0))="","",DATE(INDEX(モデル一覧!$K:$K,MATCH($D280,モデル一覧!$A:$A,0)),INDEX(モデル一覧!$L:$L,MATCH($D280,モデル一覧!$A:$A,0)),1)),""))</f>
        <v/>
      </c>
      <c r="L280" s="25" t="str">
        <f aca="false">IF(OR($F280="",$G280=""),"",(YEAR($F280)-YEAR($G280))*12+MONTH($F280)-MONTH($G280))</f>
        <v/>
      </c>
      <c r="M280" s="25" t="str">
        <f aca="false">IF(OR($F280="",$K280=""),"",(YEAR($F280)-YEAR($K280))*12+MONTH($F280)-MONTH($K280))</f>
        <v/>
      </c>
      <c r="N280" s="23" t="str">
        <f aca="false">IF($L280="","",IF(ABS($L280)&lt;=3,"整合",IF($L280&gt;3,"S&amp;P先行：SOP・生産国・世代を確認","ML先行：旧世代込み・先行登録を確認")))</f>
        <v/>
      </c>
      <c r="O280" s="22"/>
      <c r="P280" s="19"/>
    </row>
    <row r="281" customFormat="false" ht="15" hidden="false" customHeight="false" outlineLevel="0" collapsed="false">
      <c r="A281" s="19"/>
      <c r="B281" s="19"/>
      <c r="C281" s="19"/>
      <c r="D281" s="20"/>
      <c r="E281" s="21"/>
      <c r="F281" s="22"/>
      <c r="G281" s="22"/>
      <c r="H281" s="21"/>
      <c r="I281" s="23" t="str">
        <f aca="false">IF($D281="","",IFERROR(INDEX(モデル一覧!$D:$D,MATCH($D281,モデル一覧!$A:$A,0)),"IDなし"))</f>
        <v/>
      </c>
      <c r="J281" s="23" t="str">
        <f aca="false">IF($D281="","",IFERROR(INDEX(モデル一覧!$E:$E,MATCH($D281,モデル一覧!$A:$A,0)),"IDなし"))</f>
        <v/>
      </c>
      <c r="K281" s="24" t="str">
        <f aca="false">IF($D281="","",IFERROR(IF(INDEX(モデル一覧!$L:$L,MATCH($D281,モデル一覧!$A:$A,0))="","",DATE(INDEX(モデル一覧!$K:$K,MATCH($D281,モデル一覧!$A:$A,0)),INDEX(モデル一覧!$L:$L,MATCH($D281,モデル一覧!$A:$A,0)),1)),""))</f>
        <v/>
      </c>
      <c r="L281" s="25" t="str">
        <f aca="false">IF(OR($F281="",$G281=""),"",(YEAR($F281)-YEAR($G281))*12+MONTH($F281)-MONTH($G281))</f>
        <v/>
      </c>
      <c r="M281" s="25" t="str">
        <f aca="false">IF(OR($F281="",$K281=""),"",(YEAR($F281)-YEAR($K281))*12+MONTH($F281)-MONTH($K281))</f>
        <v/>
      </c>
      <c r="N281" s="23" t="str">
        <f aca="false">IF($L281="","",IF(ABS($L281)&lt;=3,"整合",IF($L281&gt;3,"S&amp;P先行：SOP・生産国・世代を確認","ML先行：旧世代込み・先行登録を確認")))</f>
        <v/>
      </c>
      <c r="O281" s="22"/>
      <c r="P281" s="19"/>
    </row>
    <row r="282" customFormat="false" ht="15" hidden="false" customHeight="false" outlineLevel="0" collapsed="false">
      <c r="A282" s="19"/>
      <c r="B282" s="19"/>
      <c r="C282" s="19"/>
      <c r="D282" s="20"/>
      <c r="E282" s="21"/>
      <c r="F282" s="22"/>
      <c r="G282" s="22"/>
      <c r="H282" s="21"/>
      <c r="I282" s="23" t="str">
        <f aca="false">IF($D282="","",IFERROR(INDEX(モデル一覧!$D:$D,MATCH($D282,モデル一覧!$A:$A,0)),"IDなし"))</f>
        <v/>
      </c>
      <c r="J282" s="23" t="str">
        <f aca="false">IF($D282="","",IFERROR(INDEX(モデル一覧!$E:$E,MATCH($D282,モデル一覧!$A:$A,0)),"IDなし"))</f>
        <v/>
      </c>
      <c r="K282" s="24" t="str">
        <f aca="false">IF($D282="","",IFERROR(IF(INDEX(モデル一覧!$L:$L,MATCH($D282,モデル一覧!$A:$A,0))="","",DATE(INDEX(モデル一覧!$K:$K,MATCH($D282,モデル一覧!$A:$A,0)),INDEX(モデル一覧!$L:$L,MATCH($D282,モデル一覧!$A:$A,0)),1)),""))</f>
        <v/>
      </c>
      <c r="L282" s="25" t="str">
        <f aca="false">IF(OR($F282="",$G282=""),"",(YEAR($F282)-YEAR($G282))*12+MONTH($F282)-MONTH($G282))</f>
        <v/>
      </c>
      <c r="M282" s="25" t="str">
        <f aca="false">IF(OR($F282="",$K282=""),"",(YEAR($F282)-YEAR($K282))*12+MONTH($F282)-MONTH($K282))</f>
        <v/>
      </c>
      <c r="N282" s="23" t="str">
        <f aca="false">IF($L282="","",IF(ABS($L282)&lt;=3,"整合",IF($L282&gt;3,"S&amp;P先行：SOP・生産国・世代を確認","ML先行：旧世代込み・先行登録を確認")))</f>
        <v/>
      </c>
      <c r="O282" s="22"/>
      <c r="P282" s="19"/>
    </row>
    <row r="283" customFormat="false" ht="15" hidden="false" customHeight="false" outlineLevel="0" collapsed="false">
      <c r="A283" s="19"/>
      <c r="B283" s="19"/>
      <c r="C283" s="19"/>
      <c r="D283" s="20"/>
      <c r="E283" s="21"/>
      <c r="F283" s="22"/>
      <c r="G283" s="22"/>
      <c r="H283" s="21"/>
      <c r="I283" s="23" t="str">
        <f aca="false">IF($D283="","",IFERROR(INDEX(モデル一覧!$D:$D,MATCH($D283,モデル一覧!$A:$A,0)),"IDなし"))</f>
        <v/>
      </c>
      <c r="J283" s="23" t="str">
        <f aca="false">IF($D283="","",IFERROR(INDEX(モデル一覧!$E:$E,MATCH($D283,モデル一覧!$A:$A,0)),"IDなし"))</f>
        <v/>
      </c>
      <c r="K283" s="24" t="str">
        <f aca="false">IF($D283="","",IFERROR(IF(INDEX(モデル一覧!$L:$L,MATCH($D283,モデル一覧!$A:$A,0))="","",DATE(INDEX(モデル一覧!$K:$K,MATCH($D283,モデル一覧!$A:$A,0)),INDEX(モデル一覧!$L:$L,MATCH($D283,モデル一覧!$A:$A,0)),1)),""))</f>
        <v/>
      </c>
      <c r="L283" s="25" t="str">
        <f aca="false">IF(OR($F283="",$G283=""),"",(YEAR($F283)-YEAR($G283))*12+MONTH($F283)-MONTH($G283))</f>
        <v/>
      </c>
      <c r="M283" s="25" t="str">
        <f aca="false">IF(OR($F283="",$K283=""),"",(YEAR($F283)-YEAR($K283))*12+MONTH($F283)-MONTH($K283))</f>
        <v/>
      </c>
      <c r="N283" s="23" t="str">
        <f aca="false">IF($L283="","",IF(ABS($L283)&lt;=3,"整合",IF($L283&gt;3,"S&amp;P先行：SOP・生産国・世代を確認","ML先行：旧世代込み・先行登録を確認")))</f>
        <v/>
      </c>
      <c r="O283" s="22"/>
      <c r="P283" s="19"/>
    </row>
    <row r="284" customFormat="false" ht="15" hidden="false" customHeight="false" outlineLevel="0" collapsed="false">
      <c r="A284" s="19"/>
      <c r="B284" s="19"/>
      <c r="C284" s="19"/>
      <c r="D284" s="20"/>
      <c r="E284" s="21"/>
      <c r="F284" s="22"/>
      <c r="G284" s="22"/>
      <c r="H284" s="21"/>
      <c r="I284" s="23" t="str">
        <f aca="false">IF($D284="","",IFERROR(INDEX(モデル一覧!$D:$D,MATCH($D284,モデル一覧!$A:$A,0)),"IDなし"))</f>
        <v/>
      </c>
      <c r="J284" s="23" t="str">
        <f aca="false">IF($D284="","",IFERROR(INDEX(モデル一覧!$E:$E,MATCH($D284,モデル一覧!$A:$A,0)),"IDなし"))</f>
        <v/>
      </c>
      <c r="K284" s="24" t="str">
        <f aca="false">IF($D284="","",IFERROR(IF(INDEX(モデル一覧!$L:$L,MATCH($D284,モデル一覧!$A:$A,0))="","",DATE(INDEX(モデル一覧!$K:$K,MATCH($D284,モデル一覧!$A:$A,0)),INDEX(モデル一覧!$L:$L,MATCH($D284,モデル一覧!$A:$A,0)),1)),""))</f>
        <v/>
      </c>
      <c r="L284" s="25" t="str">
        <f aca="false">IF(OR($F284="",$G284=""),"",(YEAR($F284)-YEAR($G284))*12+MONTH($F284)-MONTH($G284))</f>
        <v/>
      </c>
      <c r="M284" s="25" t="str">
        <f aca="false">IF(OR($F284="",$K284=""),"",(YEAR($F284)-YEAR($K284))*12+MONTH($F284)-MONTH($K284))</f>
        <v/>
      </c>
      <c r="N284" s="23" t="str">
        <f aca="false">IF($L284="","",IF(ABS($L284)&lt;=3,"整合",IF($L284&gt;3,"S&amp;P先行：SOP・生産国・世代を確認","ML先行：旧世代込み・先行登録を確認")))</f>
        <v/>
      </c>
      <c r="O284" s="22"/>
      <c r="P284" s="19"/>
    </row>
    <row r="285" customFormat="false" ht="15" hidden="false" customHeight="false" outlineLevel="0" collapsed="false">
      <c r="A285" s="19"/>
      <c r="B285" s="19"/>
      <c r="C285" s="19"/>
      <c r="D285" s="20"/>
      <c r="E285" s="21"/>
      <c r="F285" s="22"/>
      <c r="G285" s="22"/>
      <c r="H285" s="21"/>
      <c r="I285" s="23" t="str">
        <f aca="false">IF($D285="","",IFERROR(INDEX(モデル一覧!$D:$D,MATCH($D285,モデル一覧!$A:$A,0)),"IDなし"))</f>
        <v/>
      </c>
      <c r="J285" s="23" t="str">
        <f aca="false">IF($D285="","",IFERROR(INDEX(モデル一覧!$E:$E,MATCH($D285,モデル一覧!$A:$A,0)),"IDなし"))</f>
        <v/>
      </c>
      <c r="K285" s="24" t="str">
        <f aca="false">IF($D285="","",IFERROR(IF(INDEX(モデル一覧!$L:$L,MATCH($D285,モデル一覧!$A:$A,0))="","",DATE(INDEX(モデル一覧!$K:$K,MATCH($D285,モデル一覧!$A:$A,0)),INDEX(モデル一覧!$L:$L,MATCH($D285,モデル一覧!$A:$A,0)),1)),""))</f>
        <v/>
      </c>
      <c r="L285" s="25" t="str">
        <f aca="false">IF(OR($F285="",$G285=""),"",(YEAR($F285)-YEAR($G285))*12+MONTH($F285)-MONTH($G285))</f>
        <v/>
      </c>
      <c r="M285" s="25" t="str">
        <f aca="false">IF(OR($F285="",$K285=""),"",(YEAR($F285)-YEAR($K285))*12+MONTH($F285)-MONTH($K285))</f>
        <v/>
      </c>
      <c r="N285" s="23" t="str">
        <f aca="false">IF($L285="","",IF(ABS($L285)&lt;=3,"整合",IF($L285&gt;3,"S&amp;P先行：SOP・生産国・世代を確認","ML先行：旧世代込み・先行登録を確認")))</f>
        <v/>
      </c>
      <c r="O285" s="22"/>
      <c r="P285" s="19"/>
    </row>
    <row r="286" customFormat="false" ht="15" hidden="false" customHeight="false" outlineLevel="0" collapsed="false">
      <c r="A286" s="19"/>
      <c r="B286" s="19"/>
      <c r="C286" s="19"/>
      <c r="D286" s="20"/>
      <c r="E286" s="21"/>
      <c r="F286" s="22"/>
      <c r="G286" s="22"/>
      <c r="H286" s="21"/>
      <c r="I286" s="23" t="str">
        <f aca="false">IF($D286="","",IFERROR(INDEX(モデル一覧!$D:$D,MATCH($D286,モデル一覧!$A:$A,0)),"IDなし"))</f>
        <v/>
      </c>
      <c r="J286" s="23" t="str">
        <f aca="false">IF($D286="","",IFERROR(INDEX(モデル一覧!$E:$E,MATCH($D286,モデル一覧!$A:$A,0)),"IDなし"))</f>
        <v/>
      </c>
      <c r="K286" s="24" t="str">
        <f aca="false">IF($D286="","",IFERROR(IF(INDEX(モデル一覧!$L:$L,MATCH($D286,モデル一覧!$A:$A,0))="","",DATE(INDEX(モデル一覧!$K:$K,MATCH($D286,モデル一覧!$A:$A,0)),INDEX(モデル一覧!$L:$L,MATCH($D286,モデル一覧!$A:$A,0)),1)),""))</f>
        <v/>
      </c>
      <c r="L286" s="25" t="str">
        <f aca="false">IF(OR($F286="",$G286=""),"",(YEAR($F286)-YEAR($G286))*12+MONTH($F286)-MONTH($G286))</f>
        <v/>
      </c>
      <c r="M286" s="25" t="str">
        <f aca="false">IF(OR($F286="",$K286=""),"",(YEAR($F286)-YEAR($K286))*12+MONTH($F286)-MONTH($K286))</f>
        <v/>
      </c>
      <c r="N286" s="23" t="str">
        <f aca="false">IF($L286="","",IF(ABS($L286)&lt;=3,"整合",IF($L286&gt;3,"S&amp;P先行：SOP・生産国・世代を確認","ML先行：旧世代込み・先行登録を確認")))</f>
        <v/>
      </c>
      <c r="O286" s="22"/>
      <c r="P286" s="19"/>
    </row>
    <row r="287" customFormat="false" ht="15" hidden="false" customHeight="false" outlineLevel="0" collapsed="false">
      <c r="A287" s="19"/>
      <c r="B287" s="19"/>
      <c r="C287" s="19"/>
      <c r="D287" s="20"/>
      <c r="E287" s="21"/>
      <c r="F287" s="22"/>
      <c r="G287" s="22"/>
      <c r="H287" s="21"/>
      <c r="I287" s="23" t="str">
        <f aca="false">IF($D287="","",IFERROR(INDEX(モデル一覧!$D:$D,MATCH($D287,モデル一覧!$A:$A,0)),"IDなし"))</f>
        <v/>
      </c>
      <c r="J287" s="23" t="str">
        <f aca="false">IF($D287="","",IFERROR(INDEX(モデル一覧!$E:$E,MATCH($D287,モデル一覧!$A:$A,0)),"IDなし"))</f>
        <v/>
      </c>
      <c r="K287" s="24" t="str">
        <f aca="false">IF($D287="","",IFERROR(IF(INDEX(モデル一覧!$L:$L,MATCH($D287,モデル一覧!$A:$A,0))="","",DATE(INDEX(モデル一覧!$K:$K,MATCH($D287,モデル一覧!$A:$A,0)),INDEX(モデル一覧!$L:$L,MATCH($D287,モデル一覧!$A:$A,0)),1)),""))</f>
        <v/>
      </c>
      <c r="L287" s="25" t="str">
        <f aca="false">IF(OR($F287="",$G287=""),"",(YEAR($F287)-YEAR($G287))*12+MONTH($F287)-MONTH($G287))</f>
        <v/>
      </c>
      <c r="M287" s="25" t="str">
        <f aca="false">IF(OR($F287="",$K287=""),"",(YEAR($F287)-YEAR($K287))*12+MONTH($F287)-MONTH($K287))</f>
        <v/>
      </c>
      <c r="N287" s="23" t="str">
        <f aca="false">IF($L287="","",IF(ABS($L287)&lt;=3,"整合",IF($L287&gt;3,"S&amp;P先行：SOP・生産国・世代を確認","ML先行：旧世代込み・先行登録を確認")))</f>
        <v/>
      </c>
      <c r="O287" s="22"/>
      <c r="P287" s="19"/>
    </row>
    <row r="288" customFormat="false" ht="15" hidden="false" customHeight="false" outlineLevel="0" collapsed="false">
      <c r="A288" s="19"/>
      <c r="B288" s="19"/>
      <c r="C288" s="19"/>
      <c r="D288" s="20"/>
      <c r="E288" s="21"/>
      <c r="F288" s="22"/>
      <c r="G288" s="22"/>
      <c r="H288" s="21"/>
      <c r="I288" s="23" t="str">
        <f aca="false">IF($D288="","",IFERROR(INDEX(モデル一覧!$D:$D,MATCH($D288,モデル一覧!$A:$A,0)),"IDなし"))</f>
        <v/>
      </c>
      <c r="J288" s="23" t="str">
        <f aca="false">IF($D288="","",IFERROR(INDEX(モデル一覧!$E:$E,MATCH($D288,モデル一覧!$A:$A,0)),"IDなし"))</f>
        <v/>
      </c>
      <c r="K288" s="24" t="str">
        <f aca="false">IF($D288="","",IFERROR(IF(INDEX(モデル一覧!$L:$L,MATCH($D288,モデル一覧!$A:$A,0))="","",DATE(INDEX(モデル一覧!$K:$K,MATCH($D288,モデル一覧!$A:$A,0)),INDEX(モデル一覧!$L:$L,MATCH($D288,モデル一覧!$A:$A,0)),1)),""))</f>
        <v/>
      </c>
      <c r="L288" s="25" t="str">
        <f aca="false">IF(OR($F288="",$G288=""),"",(YEAR($F288)-YEAR($G288))*12+MONTH($F288)-MONTH($G288))</f>
        <v/>
      </c>
      <c r="M288" s="25" t="str">
        <f aca="false">IF(OR($F288="",$K288=""),"",(YEAR($F288)-YEAR($K288))*12+MONTH($F288)-MONTH($K288))</f>
        <v/>
      </c>
      <c r="N288" s="23" t="str">
        <f aca="false">IF($L288="","",IF(ABS($L288)&lt;=3,"整合",IF($L288&gt;3,"S&amp;P先行：SOP・生産国・世代を確認","ML先行：旧世代込み・先行登録を確認")))</f>
        <v/>
      </c>
      <c r="O288" s="22"/>
      <c r="P288" s="19"/>
    </row>
    <row r="289" customFormat="false" ht="15" hidden="false" customHeight="false" outlineLevel="0" collapsed="false">
      <c r="A289" s="19"/>
      <c r="B289" s="19"/>
      <c r="C289" s="19"/>
      <c r="D289" s="20"/>
      <c r="E289" s="21"/>
      <c r="F289" s="22"/>
      <c r="G289" s="22"/>
      <c r="H289" s="21"/>
      <c r="I289" s="23" t="str">
        <f aca="false">IF($D289="","",IFERROR(INDEX(モデル一覧!$D:$D,MATCH($D289,モデル一覧!$A:$A,0)),"IDなし"))</f>
        <v/>
      </c>
      <c r="J289" s="23" t="str">
        <f aca="false">IF($D289="","",IFERROR(INDEX(モデル一覧!$E:$E,MATCH($D289,モデル一覧!$A:$A,0)),"IDなし"))</f>
        <v/>
      </c>
      <c r="K289" s="24" t="str">
        <f aca="false">IF($D289="","",IFERROR(IF(INDEX(モデル一覧!$L:$L,MATCH($D289,モデル一覧!$A:$A,0))="","",DATE(INDEX(モデル一覧!$K:$K,MATCH($D289,モデル一覧!$A:$A,0)),INDEX(モデル一覧!$L:$L,MATCH($D289,モデル一覧!$A:$A,0)),1)),""))</f>
        <v/>
      </c>
      <c r="L289" s="25" t="str">
        <f aca="false">IF(OR($F289="",$G289=""),"",(YEAR($F289)-YEAR($G289))*12+MONTH($F289)-MONTH($G289))</f>
        <v/>
      </c>
      <c r="M289" s="25" t="str">
        <f aca="false">IF(OR($F289="",$K289=""),"",(YEAR($F289)-YEAR($K289))*12+MONTH($F289)-MONTH($K289))</f>
        <v/>
      </c>
      <c r="N289" s="23" t="str">
        <f aca="false">IF($L289="","",IF(ABS($L289)&lt;=3,"整合",IF($L289&gt;3,"S&amp;P先行：SOP・生産国・世代を確認","ML先行：旧世代込み・先行登録を確認")))</f>
        <v/>
      </c>
      <c r="O289" s="22"/>
      <c r="P289" s="19"/>
    </row>
    <row r="290" customFormat="false" ht="15" hidden="false" customHeight="false" outlineLevel="0" collapsed="false">
      <c r="A290" s="19"/>
      <c r="B290" s="19"/>
      <c r="C290" s="19"/>
      <c r="D290" s="20"/>
      <c r="E290" s="21"/>
      <c r="F290" s="22"/>
      <c r="G290" s="22"/>
      <c r="H290" s="21"/>
      <c r="I290" s="23" t="str">
        <f aca="false">IF($D290="","",IFERROR(INDEX(モデル一覧!$D:$D,MATCH($D290,モデル一覧!$A:$A,0)),"IDなし"))</f>
        <v/>
      </c>
      <c r="J290" s="23" t="str">
        <f aca="false">IF($D290="","",IFERROR(INDEX(モデル一覧!$E:$E,MATCH($D290,モデル一覧!$A:$A,0)),"IDなし"))</f>
        <v/>
      </c>
      <c r="K290" s="24" t="str">
        <f aca="false">IF($D290="","",IFERROR(IF(INDEX(モデル一覧!$L:$L,MATCH($D290,モデル一覧!$A:$A,0))="","",DATE(INDEX(モデル一覧!$K:$K,MATCH($D290,モデル一覧!$A:$A,0)),INDEX(モデル一覧!$L:$L,MATCH($D290,モデル一覧!$A:$A,0)),1)),""))</f>
        <v/>
      </c>
      <c r="L290" s="25" t="str">
        <f aca="false">IF(OR($F290="",$G290=""),"",(YEAR($F290)-YEAR($G290))*12+MONTH($F290)-MONTH($G290))</f>
        <v/>
      </c>
      <c r="M290" s="25" t="str">
        <f aca="false">IF(OR($F290="",$K290=""),"",(YEAR($F290)-YEAR($K290))*12+MONTH($F290)-MONTH($K290))</f>
        <v/>
      </c>
      <c r="N290" s="23" t="str">
        <f aca="false">IF($L290="","",IF(ABS($L290)&lt;=3,"整合",IF($L290&gt;3,"S&amp;P先行：SOP・生産国・世代を確認","ML先行：旧世代込み・先行登録を確認")))</f>
        <v/>
      </c>
      <c r="O290" s="22"/>
      <c r="P290" s="19"/>
    </row>
    <row r="291" customFormat="false" ht="15" hidden="false" customHeight="false" outlineLevel="0" collapsed="false">
      <c r="A291" s="19"/>
      <c r="B291" s="19"/>
      <c r="C291" s="19"/>
      <c r="D291" s="20"/>
      <c r="E291" s="21"/>
      <c r="F291" s="22"/>
      <c r="G291" s="22"/>
      <c r="H291" s="21"/>
      <c r="I291" s="23" t="str">
        <f aca="false">IF($D291="","",IFERROR(INDEX(モデル一覧!$D:$D,MATCH($D291,モデル一覧!$A:$A,0)),"IDなし"))</f>
        <v/>
      </c>
      <c r="J291" s="23" t="str">
        <f aca="false">IF($D291="","",IFERROR(INDEX(モデル一覧!$E:$E,MATCH($D291,モデル一覧!$A:$A,0)),"IDなし"))</f>
        <v/>
      </c>
      <c r="K291" s="24" t="str">
        <f aca="false">IF($D291="","",IFERROR(IF(INDEX(モデル一覧!$L:$L,MATCH($D291,モデル一覧!$A:$A,0))="","",DATE(INDEX(モデル一覧!$K:$K,MATCH($D291,モデル一覧!$A:$A,0)),INDEX(モデル一覧!$L:$L,MATCH($D291,モデル一覧!$A:$A,0)),1)),""))</f>
        <v/>
      </c>
      <c r="L291" s="25" t="str">
        <f aca="false">IF(OR($F291="",$G291=""),"",(YEAR($F291)-YEAR($G291))*12+MONTH($F291)-MONTH($G291))</f>
        <v/>
      </c>
      <c r="M291" s="25" t="str">
        <f aca="false">IF(OR($F291="",$K291=""),"",(YEAR($F291)-YEAR($K291))*12+MONTH($F291)-MONTH($K291))</f>
        <v/>
      </c>
      <c r="N291" s="23" t="str">
        <f aca="false">IF($L291="","",IF(ABS($L291)&lt;=3,"整合",IF($L291&gt;3,"S&amp;P先行：SOP・生産国・世代を確認","ML先行：旧世代込み・先行登録を確認")))</f>
        <v/>
      </c>
      <c r="O291" s="22"/>
      <c r="P291" s="19"/>
    </row>
    <row r="292" customFormat="false" ht="15" hidden="false" customHeight="false" outlineLevel="0" collapsed="false">
      <c r="A292" s="19"/>
      <c r="B292" s="19"/>
      <c r="C292" s="19"/>
      <c r="D292" s="20"/>
      <c r="E292" s="21"/>
      <c r="F292" s="22"/>
      <c r="G292" s="22"/>
      <c r="H292" s="21"/>
      <c r="I292" s="23" t="str">
        <f aca="false">IF($D292="","",IFERROR(INDEX(モデル一覧!$D:$D,MATCH($D292,モデル一覧!$A:$A,0)),"IDなし"))</f>
        <v/>
      </c>
      <c r="J292" s="23" t="str">
        <f aca="false">IF($D292="","",IFERROR(INDEX(モデル一覧!$E:$E,MATCH($D292,モデル一覧!$A:$A,0)),"IDなし"))</f>
        <v/>
      </c>
      <c r="K292" s="24" t="str">
        <f aca="false">IF($D292="","",IFERROR(IF(INDEX(モデル一覧!$L:$L,MATCH($D292,モデル一覧!$A:$A,0))="","",DATE(INDEX(モデル一覧!$K:$K,MATCH($D292,モデル一覧!$A:$A,0)),INDEX(モデル一覧!$L:$L,MATCH($D292,モデル一覧!$A:$A,0)),1)),""))</f>
        <v/>
      </c>
      <c r="L292" s="25" t="str">
        <f aca="false">IF(OR($F292="",$G292=""),"",(YEAR($F292)-YEAR($G292))*12+MONTH($F292)-MONTH($G292))</f>
        <v/>
      </c>
      <c r="M292" s="25" t="str">
        <f aca="false">IF(OR($F292="",$K292=""),"",(YEAR($F292)-YEAR($K292))*12+MONTH($F292)-MONTH($K292))</f>
        <v/>
      </c>
      <c r="N292" s="23" t="str">
        <f aca="false">IF($L292="","",IF(ABS($L292)&lt;=3,"整合",IF($L292&gt;3,"S&amp;P先行：SOP・生産国・世代を確認","ML先行：旧世代込み・先行登録を確認")))</f>
        <v/>
      </c>
      <c r="O292" s="22"/>
      <c r="P292" s="19"/>
    </row>
    <row r="293" customFormat="false" ht="15" hidden="false" customHeight="false" outlineLevel="0" collapsed="false">
      <c r="A293" s="19"/>
      <c r="B293" s="19"/>
      <c r="C293" s="19"/>
      <c r="D293" s="20"/>
      <c r="E293" s="21"/>
      <c r="F293" s="22"/>
      <c r="G293" s="22"/>
      <c r="H293" s="21"/>
      <c r="I293" s="23" t="str">
        <f aca="false">IF($D293="","",IFERROR(INDEX(モデル一覧!$D:$D,MATCH($D293,モデル一覧!$A:$A,0)),"IDなし"))</f>
        <v/>
      </c>
      <c r="J293" s="23" t="str">
        <f aca="false">IF($D293="","",IFERROR(INDEX(モデル一覧!$E:$E,MATCH($D293,モデル一覧!$A:$A,0)),"IDなし"))</f>
        <v/>
      </c>
      <c r="K293" s="24" t="str">
        <f aca="false">IF($D293="","",IFERROR(IF(INDEX(モデル一覧!$L:$L,MATCH($D293,モデル一覧!$A:$A,0))="","",DATE(INDEX(モデル一覧!$K:$K,MATCH($D293,モデル一覧!$A:$A,0)),INDEX(モデル一覧!$L:$L,MATCH($D293,モデル一覧!$A:$A,0)),1)),""))</f>
        <v/>
      </c>
      <c r="L293" s="25" t="str">
        <f aca="false">IF(OR($F293="",$G293=""),"",(YEAR($F293)-YEAR($G293))*12+MONTH($F293)-MONTH($G293))</f>
        <v/>
      </c>
      <c r="M293" s="25" t="str">
        <f aca="false">IF(OR($F293="",$K293=""),"",(YEAR($F293)-YEAR($K293))*12+MONTH($F293)-MONTH($K293))</f>
        <v/>
      </c>
      <c r="N293" s="23" t="str">
        <f aca="false">IF($L293="","",IF(ABS($L293)&lt;=3,"整合",IF($L293&gt;3,"S&amp;P先行：SOP・生産国・世代を確認","ML先行：旧世代込み・先行登録を確認")))</f>
        <v/>
      </c>
      <c r="O293" s="22"/>
      <c r="P293" s="19"/>
    </row>
    <row r="294" customFormat="false" ht="15" hidden="false" customHeight="false" outlineLevel="0" collapsed="false">
      <c r="A294" s="19"/>
      <c r="B294" s="19"/>
      <c r="C294" s="19"/>
      <c r="D294" s="20"/>
      <c r="E294" s="21"/>
      <c r="F294" s="22"/>
      <c r="G294" s="22"/>
      <c r="H294" s="21"/>
      <c r="I294" s="23" t="str">
        <f aca="false">IF($D294="","",IFERROR(INDEX(モデル一覧!$D:$D,MATCH($D294,モデル一覧!$A:$A,0)),"IDなし"))</f>
        <v/>
      </c>
      <c r="J294" s="23" t="str">
        <f aca="false">IF($D294="","",IFERROR(INDEX(モデル一覧!$E:$E,MATCH($D294,モデル一覧!$A:$A,0)),"IDなし"))</f>
        <v/>
      </c>
      <c r="K294" s="24" t="str">
        <f aca="false">IF($D294="","",IFERROR(IF(INDEX(モデル一覧!$L:$L,MATCH($D294,モデル一覧!$A:$A,0))="","",DATE(INDEX(モデル一覧!$K:$K,MATCH($D294,モデル一覧!$A:$A,0)),INDEX(モデル一覧!$L:$L,MATCH($D294,モデル一覧!$A:$A,0)),1)),""))</f>
        <v/>
      </c>
      <c r="L294" s="25" t="str">
        <f aca="false">IF(OR($F294="",$G294=""),"",(YEAR($F294)-YEAR($G294))*12+MONTH($F294)-MONTH($G294))</f>
        <v/>
      </c>
      <c r="M294" s="25" t="str">
        <f aca="false">IF(OR($F294="",$K294=""),"",(YEAR($F294)-YEAR($K294))*12+MONTH($F294)-MONTH($K294))</f>
        <v/>
      </c>
      <c r="N294" s="23" t="str">
        <f aca="false">IF($L294="","",IF(ABS($L294)&lt;=3,"整合",IF($L294&gt;3,"S&amp;P先行：SOP・生産国・世代を確認","ML先行：旧世代込み・先行登録を確認")))</f>
        <v/>
      </c>
      <c r="O294" s="22"/>
      <c r="P294" s="19"/>
    </row>
    <row r="295" customFormat="false" ht="15" hidden="false" customHeight="false" outlineLevel="0" collapsed="false">
      <c r="A295" s="19"/>
      <c r="B295" s="19"/>
      <c r="C295" s="19"/>
      <c r="D295" s="20"/>
      <c r="E295" s="21"/>
      <c r="F295" s="22"/>
      <c r="G295" s="22"/>
      <c r="H295" s="21"/>
      <c r="I295" s="23" t="str">
        <f aca="false">IF($D295="","",IFERROR(INDEX(モデル一覧!$D:$D,MATCH($D295,モデル一覧!$A:$A,0)),"IDなし"))</f>
        <v/>
      </c>
      <c r="J295" s="23" t="str">
        <f aca="false">IF($D295="","",IFERROR(INDEX(モデル一覧!$E:$E,MATCH($D295,モデル一覧!$A:$A,0)),"IDなし"))</f>
        <v/>
      </c>
      <c r="K295" s="24" t="str">
        <f aca="false">IF($D295="","",IFERROR(IF(INDEX(モデル一覧!$L:$L,MATCH($D295,モデル一覧!$A:$A,0))="","",DATE(INDEX(モデル一覧!$K:$K,MATCH($D295,モデル一覧!$A:$A,0)),INDEX(モデル一覧!$L:$L,MATCH($D295,モデル一覧!$A:$A,0)),1)),""))</f>
        <v/>
      </c>
      <c r="L295" s="25" t="str">
        <f aca="false">IF(OR($F295="",$G295=""),"",(YEAR($F295)-YEAR($G295))*12+MONTH($F295)-MONTH($G295))</f>
        <v/>
      </c>
      <c r="M295" s="25" t="str">
        <f aca="false">IF(OR($F295="",$K295=""),"",(YEAR($F295)-YEAR($K295))*12+MONTH($F295)-MONTH($K295))</f>
        <v/>
      </c>
      <c r="N295" s="23" t="str">
        <f aca="false">IF($L295="","",IF(ABS($L295)&lt;=3,"整合",IF($L295&gt;3,"S&amp;P先行：SOP・生産国・世代を確認","ML先行：旧世代込み・先行登録を確認")))</f>
        <v/>
      </c>
      <c r="O295" s="22"/>
      <c r="P295" s="19"/>
    </row>
    <row r="296" customFormat="false" ht="15" hidden="false" customHeight="false" outlineLevel="0" collapsed="false">
      <c r="A296" s="19"/>
      <c r="B296" s="19"/>
      <c r="C296" s="19"/>
      <c r="D296" s="20"/>
      <c r="E296" s="21"/>
      <c r="F296" s="22"/>
      <c r="G296" s="22"/>
      <c r="H296" s="21"/>
      <c r="I296" s="23" t="str">
        <f aca="false">IF($D296="","",IFERROR(INDEX(モデル一覧!$D:$D,MATCH($D296,モデル一覧!$A:$A,0)),"IDなし"))</f>
        <v/>
      </c>
      <c r="J296" s="23" t="str">
        <f aca="false">IF($D296="","",IFERROR(INDEX(モデル一覧!$E:$E,MATCH($D296,モデル一覧!$A:$A,0)),"IDなし"))</f>
        <v/>
      </c>
      <c r="K296" s="24" t="str">
        <f aca="false">IF($D296="","",IFERROR(IF(INDEX(モデル一覧!$L:$L,MATCH($D296,モデル一覧!$A:$A,0))="","",DATE(INDEX(モデル一覧!$K:$K,MATCH($D296,モデル一覧!$A:$A,0)),INDEX(モデル一覧!$L:$L,MATCH($D296,モデル一覧!$A:$A,0)),1)),""))</f>
        <v/>
      </c>
      <c r="L296" s="25" t="str">
        <f aca="false">IF(OR($F296="",$G296=""),"",(YEAR($F296)-YEAR($G296))*12+MONTH($F296)-MONTH($G296))</f>
        <v/>
      </c>
      <c r="M296" s="25" t="str">
        <f aca="false">IF(OR($F296="",$K296=""),"",(YEAR($F296)-YEAR($K296))*12+MONTH($F296)-MONTH($K296))</f>
        <v/>
      </c>
      <c r="N296" s="23" t="str">
        <f aca="false">IF($L296="","",IF(ABS($L296)&lt;=3,"整合",IF($L296&gt;3,"S&amp;P先行：SOP・生産国・世代を確認","ML先行：旧世代込み・先行登録を確認")))</f>
        <v/>
      </c>
      <c r="O296" s="22"/>
      <c r="P296" s="19"/>
    </row>
    <row r="297" customFormat="false" ht="15" hidden="false" customHeight="false" outlineLevel="0" collapsed="false">
      <c r="A297" s="19"/>
      <c r="B297" s="19"/>
      <c r="C297" s="19"/>
      <c r="D297" s="20"/>
      <c r="E297" s="21"/>
      <c r="F297" s="22"/>
      <c r="G297" s="22"/>
      <c r="H297" s="21"/>
      <c r="I297" s="23" t="str">
        <f aca="false">IF($D297="","",IFERROR(INDEX(モデル一覧!$D:$D,MATCH($D297,モデル一覧!$A:$A,0)),"IDなし"))</f>
        <v/>
      </c>
      <c r="J297" s="23" t="str">
        <f aca="false">IF($D297="","",IFERROR(INDEX(モデル一覧!$E:$E,MATCH($D297,モデル一覧!$A:$A,0)),"IDなし"))</f>
        <v/>
      </c>
      <c r="K297" s="24" t="str">
        <f aca="false">IF($D297="","",IFERROR(IF(INDEX(モデル一覧!$L:$L,MATCH($D297,モデル一覧!$A:$A,0))="","",DATE(INDEX(モデル一覧!$K:$K,MATCH($D297,モデル一覧!$A:$A,0)),INDEX(モデル一覧!$L:$L,MATCH($D297,モデル一覧!$A:$A,0)),1)),""))</f>
        <v/>
      </c>
      <c r="L297" s="25" t="str">
        <f aca="false">IF(OR($F297="",$G297=""),"",(YEAR($F297)-YEAR($G297))*12+MONTH($F297)-MONTH($G297))</f>
        <v/>
      </c>
      <c r="M297" s="25" t="str">
        <f aca="false">IF(OR($F297="",$K297=""),"",(YEAR($F297)-YEAR($K297))*12+MONTH($F297)-MONTH($K297))</f>
        <v/>
      </c>
      <c r="N297" s="23" t="str">
        <f aca="false">IF($L297="","",IF(ABS($L297)&lt;=3,"整合",IF($L297&gt;3,"S&amp;P先行：SOP・生産国・世代を確認","ML先行：旧世代込み・先行登録を確認")))</f>
        <v/>
      </c>
      <c r="O297" s="22"/>
      <c r="P297" s="19"/>
    </row>
    <row r="298" customFormat="false" ht="15" hidden="false" customHeight="false" outlineLevel="0" collapsed="false">
      <c r="A298" s="19"/>
      <c r="B298" s="19"/>
      <c r="C298" s="19"/>
      <c r="D298" s="20"/>
      <c r="E298" s="21"/>
      <c r="F298" s="22"/>
      <c r="G298" s="22"/>
      <c r="H298" s="21"/>
      <c r="I298" s="23" t="str">
        <f aca="false">IF($D298="","",IFERROR(INDEX(モデル一覧!$D:$D,MATCH($D298,モデル一覧!$A:$A,0)),"IDなし"))</f>
        <v/>
      </c>
      <c r="J298" s="23" t="str">
        <f aca="false">IF($D298="","",IFERROR(INDEX(モデル一覧!$E:$E,MATCH($D298,モデル一覧!$A:$A,0)),"IDなし"))</f>
        <v/>
      </c>
      <c r="K298" s="24" t="str">
        <f aca="false">IF($D298="","",IFERROR(IF(INDEX(モデル一覧!$L:$L,MATCH($D298,モデル一覧!$A:$A,0))="","",DATE(INDEX(モデル一覧!$K:$K,MATCH($D298,モデル一覧!$A:$A,0)),INDEX(モデル一覧!$L:$L,MATCH($D298,モデル一覧!$A:$A,0)),1)),""))</f>
        <v/>
      </c>
      <c r="L298" s="25" t="str">
        <f aca="false">IF(OR($F298="",$G298=""),"",(YEAR($F298)-YEAR($G298))*12+MONTH($F298)-MONTH($G298))</f>
        <v/>
      </c>
      <c r="M298" s="25" t="str">
        <f aca="false">IF(OR($F298="",$K298=""),"",(YEAR($F298)-YEAR($K298))*12+MONTH($F298)-MONTH($K298))</f>
        <v/>
      </c>
      <c r="N298" s="23" t="str">
        <f aca="false">IF($L298="","",IF(ABS($L298)&lt;=3,"整合",IF($L298&gt;3,"S&amp;P先行：SOP・生産国・世代を確認","ML先行：旧世代込み・先行登録を確認")))</f>
        <v/>
      </c>
      <c r="O298" s="22"/>
      <c r="P298" s="19"/>
    </row>
    <row r="299" customFormat="false" ht="15" hidden="false" customHeight="false" outlineLevel="0" collapsed="false">
      <c r="A299" s="19"/>
      <c r="B299" s="19"/>
      <c r="C299" s="19"/>
      <c r="D299" s="20"/>
      <c r="E299" s="21"/>
      <c r="F299" s="22"/>
      <c r="G299" s="22"/>
      <c r="H299" s="21"/>
      <c r="I299" s="23" t="str">
        <f aca="false">IF($D299="","",IFERROR(INDEX(モデル一覧!$D:$D,MATCH($D299,モデル一覧!$A:$A,0)),"IDなし"))</f>
        <v/>
      </c>
      <c r="J299" s="23" t="str">
        <f aca="false">IF($D299="","",IFERROR(INDEX(モデル一覧!$E:$E,MATCH($D299,モデル一覧!$A:$A,0)),"IDなし"))</f>
        <v/>
      </c>
      <c r="K299" s="24" t="str">
        <f aca="false">IF($D299="","",IFERROR(IF(INDEX(モデル一覧!$L:$L,MATCH($D299,モデル一覧!$A:$A,0))="","",DATE(INDEX(モデル一覧!$K:$K,MATCH($D299,モデル一覧!$A:$A,0)),INDEX(モデル一覧!$L:$L,MATCH($D299,モデル一覧!$A:$A,0)),1)),""))</f>
        <v/>
      </c>
      <c r="L299" s="25" t="str">
        <f aca="false">IF(OR($F299="",$G299=""),"",(YEAR($F299)-YEAR($G299))*12+MONTH($F299)-MONTH($G299))</f>
        <v/>
      </c>
      <c r="M299" s="25" t="str">
        <f aca="false">IF(OR($F299="",$K299=""),"",(YEAR($F299)-YEAR($K299))*12+MONTH($F299)-MONTH($K299))</f>
        <v/>
      </c>
      <c r="N299" s="23" t="str">
        <f aca="false">IF($L299="","",IF(ABS($L299)&lt;=3,"整合",IF($L299&gt;3,"S&amp;P先行：SOP・生産国・世代を確認","ML先行：旧世代込み・先行登録を確認")))</f>
        <v/>
      </c>
      <c r="O299" s="22"/>
      <c r="P299" s="19"/>
    </row>
    <row r="300" customFormat="false" ht="15" hidden="false" customHeight="false" outlineLevel="0" collapsed="false">
      <c r="A300" s="19"/>
      <c r="B300" s="19"/>
      <c r="C300" s="19"/>
      <c r="D300" s="20"/>
      <c r="E300" s="21"/>
      <c r="F300" s="22"/>
      <c r="G300" s="22"/>
      <c r="H300" s="21"/>
      <c r="I300" s="23" t="str">
        <f aca="false">IF($D300="","",IFERROR(INDEX(モデル一覧!$D:$D,MATCH($D300,モデル一覧!$A:$A,0)),"IDなし"))</f>
        <v/>
      </c>
      <c r="J300" s="23" t="str">
        <f aca="false">IF($D300="","",IFERROR(INDEX(モデル一覧!$E:$E,MATCH($D300,モデル一覧!$A:$A,0)),"IDなし"))</f>
        <v/>
      </c>
      <c r="K300" s="24" t="str">
        <f aca="false">IF($D300="","",IFERROR(IF(INDEX(モデル一覧!$L:$L,MATCH($D300,モデル一覧!$A:$A,0))="","",DATE(INDEX(モデル一覧!$K:$K,MATCH($D300,モデル一覧!$A:$A,0)),INDEX(モデル一覧!$L:$L,MATCH($D300,モデル一覧!$A:$A,0)),1)),""))</f>
        <v/>
      </c>
      <c r="L300" s="25" t="str">
        <f aca="false">IF(OR($F300="",$G300=""),"",(YEAR($F300)-YEAR($G300))*12+MONTH($F300)-MONTH($G300))</f>
        <v/>
      </c>
      <c r="M300" s="25" t="str">
        <f aca="false">IF(OR($F300="",$K300=""),"",(YEAR($F300)-YEAR($K300))*12+MONTH($F300)-MONTH($K300))</f>
        <v/>
      </c>
      <c r="N300" s="23" t="str">
        <f aca="false">IF($L300="","",IF(ABS($L300)&lt;=3,"整合",IF($L300&gt;3,"S&amp;P先行：SOP・生産国・世代を確認","ML先行：旧世代込み・先行登録を確認")))</f>
        <v/>
      </c>
      <c r="O300" s="22"/>
      <c r="P300" s="19"/>
    </row>
    <row r="301" customFormat="false" ht="15" hidden="false" customHeight="false" outlineLevel="0" collapsed="false">
      <c r="A301" s="19"/>
      <c r="B301" s="19"/>
      <c r="C301" s="19"/>
      <c r="D301" s="20"/>
      <c r="E301" s="21"/>
      <c r="F301" s="22"/>
      <c r="G301" s="22"/>
      <c r="H301" s="21"/>
      <c r="I301" s="23" t="str">
        <f aca="false">IF($D301="","",IFERROR(INDEX(モデル一覧!$D:$D,MATCH($D301,モデル一覧!$A:$A,0)),"IDなし"))</f>
        <v/>
      </c>
      <c r="J301" s="23" t="str">
        <f aca="false">IF($D301="","",IFERROR(INDEX(モデル一覧!$E:$E,MATCH($D301,モデル一覧!$A:$A,0)),"IDなし"))</f>
        <v/>
      </c>
      <c r="K301" s="24" t="str">
        <f aca="false">IF($D301="","",IFERROR(IF(INDEX(モデル一覧!$L:$L,MATCH($D301,モデル一覧!$A:$A,0))="","",DATE(INDEX(モデル一覧!$K:$K,MATCH($D301,モデル一覧!$A:$A,0)),INDEX(モデル一覧!$L:$L,MATCH($D301,モデル一覧!$A:$A,0)),1)),""))</f>
        <v/>
      </c>
      <c r="L301" s="25" t="str">
        <f aca="false">IF(OR($F301="",$G301=""),"",(YEAR($F301)-YEAR($G301))*12+MONTH($F301)-MONTH($G301))</f>
        <v/>
      </c>
      <c r="M301" s="25" t="str">
        <f aca="false">IF(OR($F301="",$K301=""),"",(YEAR($F301)-YEAR($K301))*12+MONTH($F301)-MONTH($K301))</f>
        <v/>
      </c>
      <c r="N301" s="23" t="str">
        <f aca="false">IF($L301="","",IF(ABS($L301)&lt;=3,"整合",IF($L301&gt;3,"S&amp;P先行：SOP・生産国・世代を確認","ML先行：旧世代込み・先行登録を確認")))</f>
        <v/>
      </c>
      <c r="O301" s="22"/>
      <c r="P301" s="19"/>
    </row>
    <row r="302" customFormat="false" ht="15" hidden="false" customHeight="false" outlineLevel="0" collapsed="false">
      <c r="A302" s="19"/>
      <c r="B302" s="19"/>
      <c r="C302" s="19"/>
      <c r="D302" s="20"/>
      <c r="E302" s="21"/>
      <c r="F302" s="22"/>
      <c r="G302" s="22"/>
      <c r="H302" s="21"/>
      <c r="I302" s="23" t="str">
        <f aca="false">IF($D302="","",IFERROR(INDEX(モデル一覧!$D:$D,MATCH($D302,モデル一覧!$A:$A,0)),"IDなし"))</f>
        <v/>
      </c>
      <c r="J302" s="23" t="str">
        <f aca="false">IF($D302="","",IFERROR(INDEX(モデル一覧!$E:$E,MATCH($D302,モデル一覧!$A:$A,0)),"IDなし"))</f>
        <v/>
      </c>
      <c r="K302" s="24" t="str">
        <f aca="false">IF($D302="","",IFERROR(IF(INDEX(モデル一覧!$L:$L,MATCH($D302,モデル一覧!$A:$A,0))="","",DATE(INDEX(モデル一覧!$K:$K,MATCH($D302,モデル一覧!$A:$A,0)),INDEX(モデル一覧!$L:$L,MATCH($D302,モデル一覧!$A:$A,0)),1)),""))</f>
        <v/>
      </c>
      <c r="L302" s="25" t="str">
        <f aca="false">IF(OR($F302="",$G302=""),"",(YEAR($F302)-YEAR($G302))*12+MONTH($F302)-MONTH($G302))</f>
        <v/>
      </c>
      <c r="M302" s="25" t="str">
        <f aca="false">IF(OR($F302="",$K302=""),"",(YEAR($F302)-YEAR($K302))*12+MONTH($F302)-MONTH($K302))</f>
        <v/>
      </c>
      <c r="N302" s="23" t="str">
        <f aca="false">IF($L302="","",IF(ABS($L302)&lt;=3,"整合",IF($L302&gt;3,"S&amp;P先行：SOP・生産国・世代を確認","ML先行：旧世代込み・先行登録を確認")))</f>
        <v/>
      </c>
      <c r="O302" s="22"/>
      <c r="P302" s="19"/>
    </row>
    <row r="303" customFormat="false" ht="15" hidden="false" customHeight="false" outlineLevel="0" collapsed="false">
      <c r="A303" s="19"/>
      <c r="B303" s="19"/>
      <c r="C303" s="19"/>
      <c r="D303" s="20"/>
      <c r="E303" s="21"/>
      <c r="F303" s="22"/>
      <c r="G303" s="22"/>
      <c r="H303" s="21"/>
      <c r="I303" s="23" t="str">
        <f aca="false">IF($D303="","",IFERROR(INDEX(モデル一覧!$D:$D,MATCH($D303,モデル一覧!$A:$A,0)),"IDなし"))</f>
        <v/>
      </c>
      <c r="J303" s="23" t="str">
        <f aca="false">IF($D303="","",IFERROR(INDEX(モデル一覧!$E:$E,MATCH($D303,モデル一覧!$A:$A,0)),"IDなし"))</f>
        <v/>
      </c>
      <c r="K303" s="24" t="str">
        <f aca="false">IF($D303="","",IFERROR(IF(INDEX(モデル一覧!$L:$L,MATCH($D303,モデル一覧!$A:$A,0))="","",DATE(INDEX(モデル一覧!$K:$K,MATCH($D303,モデル一覧!$A:$A,0)),INDEX(モデル一覧!$L:$L,MATCH($D303,モデル一覧!$A:$A,0)),1)),""))</f>
        <v/>
      </c>
      <c r="L303" s="25" t="str">
        <f aca="false">IF(OR($F303="",$G303=""),"",(YEAR($F303)-YEAR($G303))*12+MONTH($F303)-MONTH($G303))</f>
        <v/>
      </c>
      <c r="M303" s="25" t="str">
        <f aca="false">IF(OR($F303="",$K303=""),"",(YEAR($F303)-YEAR($K303))*12+MONTH($F303)-MONTH($K303))</f>
        <v/>
      </c>
      <c r="N303" s="23" t="str">
        <f aca="false">IF($L303="","",IF(ABS($L303)&lt;=3,"整合",IF($L303&gt;3,"S&amp;P先行：SOP・生産国・世代を確認","ML先行：旧世代込み・先行登録を確認")))</f>
        <v/>
      </c>
      <c r="O303" s="22"/>
      <c r="P303" s="19"/>
    </row>
    <row r="304" customFormat="false" ht="15" hidden="false" customHeight="false" outlineLevel="0" collapsed="false">
      <c r="A304" s="19"/>
      <c r="B304" s="19"/>
      <c r="C304" s="19"/>
      <c r="D304" s="20"/>
      <c r="E304" s="21"/>
      <c r="F304" s="22"/>
      <c r="G304" s="22"/>
      <c r="H304" s="21"/>
      <c r="I304" s="23" t="str">
        <f aca="false">IF($D304="","",IFERROR(INDEX(モデル一覧!$D:$D,MATCH($D304,モデル一覧!$A:$A,0)),"IDなし"))</f>
        <v/>
      </c>
      <c r="J304" s="23" t="str">
        <f aca="false">IF($D304="","",IFERROR(INDEX(モデル一覧!$E:$E,MATCH($D304,モデル一覧!$A:$A,0)),"IDなし"))</f>
        <v/>
      </c>
      <c r="K304" s="24" t="str">
        <f aca="false">IF($D304="","",IFERROR(IF(INDEX(モデル一覧!$L:$L,MATCH($D304,モデル一覧!$A:$A,0))="","",DATE(INDEX(モデル一覧!$K:$K,MATCH($D304,モデル一覧!$A:$A,0)),INDEX(モデル一覧!$L:$L,MATCH($D304,モデル一覧!$A:$A,0)),1)),""))</f>
        <v/>
      </c>
      <c r="L304" s="25" t="str">
        <f aca="false">IF(OR($F304="",$G304=""),"",(YEAR($F304)-YEAR($G304))*12+MONTH($F304)-MONTH($G304))</f>
        <v/>
      </c>
      <c r="M304" s="25" t="str">
        <f aca="false">IF(OR($F304="",$K304=""),"",(YEAR($F304)-YEAR($K304))*12+MONTH($F304)-MONTH($K304))</f>
        <v/>
      </c>
      <c r="N304" s="23" t="str">
        <f aca="false">IF($L304="","",IF(ABS($L304)&lt;=3,"整合",IF($L304&gt;3,"S&amp;P先行：SOP・生産国・世代を確認","ML先行：旧世代込み・先行登録を確認")))</f>
        <v/>
      </c>
      <c r="O304" s="22"/>
      <c r="P304" s="19"/>
    </row>
    <row r="305" customFormat="false" ht="15" hidden="false" customHeight="false" outlineLevel="0" collapsed="false">
      <c r="A305" s="19"/>
      <c r="B305" s="19"/>
      <c r="C305" s="19"/>
      <c r="D305" s="20"/>
      <c r="E305" s="21"/>
      <c r="F305" s="22"/>
      <c r="G305" s="22"/>
      <c r="H305" s="21"/>
      <c r="I305" s="23" t="str">
        <f aca="false">IF($D305="","",IFERROR(INDEX(モデル一覧!$D:$D,MATCH($D305,モデル一覧!$A:$A,0)),"IDなし"))</f>
        <v/>
      </c>
      <c r="J305" s="23" t="str">
        <f aca="false">IF($D305="","",IFERROR(INDEX(モデル一覧!$E:$E,MATCH($D305,モデル一覧!$A:$A,0)),"IDなし"))</f>
        <v/>
      </c>
      <c r="K305" s="24" t="str">
        <f aca="false">IF($D305="","",IFERROR(IF(INDEX(モデル一覧!$L:$L,MATCH($D305,モデル一覧!$A:$A,0))="","",DATE(INDEX(モデル一覧!$K:$K,MATCH($D305,モデル一覧!$A:$A,0)),INDEX(モデル一覧!$L:$L,MATCH($D305,モデル一覧!$A:$A,0)),1)),""))</f>
        <v/>
      </c>
      <c r="L305" s="25" t="str">
        <f aca="false">IF(OR($F305="",$G305=""),"",(YEAR($F305)-YEAR($G305))*12+MONTH($F305)-MONTH($G305))</f>
        <v/>
      </c>
      <c r="M305" s="25" t="str">
        <f aca="false">IF(OR($F305="",$K305=""),"",(YEAR($F305)-YEAR($K305))*12+MONTH($F305)-MONTH($K305))</f>
        <v/>
      </c>
      <c r="N305" s="23" t="str">
        <f aca="false">IF($L305="","",IF(ABS($L305)&lt;=3,"整合",IF($L305&gt;3,"S&amp;P先行：SOP・生産国・世代を確認","ML先行：旧世代込み・先行登録を確認")))</f>
        <v/>
      </c>
      <c r="O305" s="22"/>
      <c r="P305" s="19"/>
    </row>
  </sheetData>
  <dataValidations count="2">
    <dataValidation allowBlank="true" errorStyle="stop" operator="between" showDropDown="false" showErrorMessage="false" showInputMessage="false" sqref="E6:E305" type="list">
      <formula1>"1対1,多対1,1対多,対応なし"</formula1>
      <formula2>0</formula2>
    </dataValidation>
    <dataValidation allowBlank="true" errorStyle="stop" operator="between" showDropDown="false" showErrorMessage="false" showInputMessage="false" sqref="H6:H305" type="list">
      <formula1>"SOP（タイ工場）,SOP（輸入元工場）,タイ発売,世界初公開,不明"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2026-10-06T08:10:03Z</dcterms:created>
  <dc:creator>openpyxl</dc:creator>
  <dc:description/>
  <dc:language>en-US</dc:language>
  <cp:lastModifiedBy/>
  <dcterms:modified xsi:type="dcterms:W3CDTF">2026-10-06T08:10:03Z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